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m\Downloads\"/>
    </mc:Choice>
  </mc:AlternateContent>
  <xr:revisionPtr revIDLastSave="0" documentId="8_{633B8852-8E2B-47C8-B658-7319457BF333}" xr6:coauthVersionLast="47" xr6:coauthVersionMax="47" xr10:uidLastSave="{00000000-0000-0000-0000-000000000000}"/>
  <bookViews>
    <workbookView xWindow="-120" yWindow="-120" windowWidth="29040" windowHeight="15720" xr2:uid="{1603C415-FCA0-4153-AF99-A71B9299EE1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3" i="1" l="1"/>
  <c r="W43" i="1" s="1"/>
  <c r="V43" i="1" s="1"/>
  <c r="T43" i="1" s="1"/>
  <c r="S43" i="1" s="1"/>
  <c r="R43" i="1" s="1"/>
  <c r="Q43" i="1" s="1"/>
  <c r="O43" i="1" s="1"/>
  <c r="N43" i="1" s="1"/>
  <c r="M43" i="1" s="1"/>
  <c r="L43" i="1" s="1"/>
  <c r="J43" i="1" s="1"/>
  <c r="I43" i="1" s="1"/>
  <c r="H43" i="1" s="1"/>
  <c r="G43" i="1" s="1"/>
  <c r="X38" i="1"/>
  <c r="W38" i="1" s="1"/>
  <c r="V38" i="1" s="1"/>
  <c r="T38" i="1" s="1"/>
  <c r="S38" i="1" s="1"/>
  <c r="R38" i="1" s="1"/>
  <c r="Q38" i="1" s="1"/>
  <c r="O38" i="1" s="1"/>
  <c r="N38" i="1" s="1"/>
  <c r="M38" i="1" s="1"/>
  <c r="L38" i="1" s="1"/>
  <c r="J38" i="1" s="1"/>
  <c r="I38" i="1" s="1"/>
  <c r="H38" i="1" s="1"/>
  <c r="G38" i="1" s="1"/>
  <c r="X33" i="1"/>
  <c r="W33" i="1"/>
  <c r="V33" i="1" s="1"/>
  <c r="T33" i="1" s="1"/>
  <c r="S33" i="1" s="1"/>
  <c r="R33" i="1" s="1"/>
  <c r="Q33" i="1" s="1"/>
  <c r="O33" i="1" s="1"/>
  <c r="N33" i="1" s="1"/>
  <c r="M33" i="1" s="1"/>
  <c r="L33" i="1" s="1"/>
  <c r="J33" i="1" s="1"/>
  <c r="I33" i="1" s="1"/>
  <c r="H33" i="1" s="1"/>
  <c r="G33" i="1" s="1"/>
  <c r="X28" i="1"/>
  <c r="W28" i="1" s="1"/>
  <c r="V28" i="1" s="1"/>
  <c r="T28" i="1" s="1"/>
  <c r="S28" i="1" s="1"/>
  <c r="R28" i="1" s="1"/>
  <c r="Q28" i="1" s="1"/>
  <c r="O28" i="1" s="1"/>
  <c r="N28" i="1" s="1"/>
  <c r="M28" i="1" s="1"/>
  <c r="L28" i="1" s="1"/>
  <c r="J28" i="1" s="1"/>
  <c r="I28" i="1" s="1"/>
  <c r="H28" i="1" s="1"/>
  <c r="G28" i="1" s="1"/>
  <c r="X23" i="1"/>
  <c r="W23" i="1" s="1"/>
  <c r="V23" i="1" s="1"/>
  <c r="T23" i="1" s="1"/>
  <c r="S23" i="1" s="1"/>
  <c r="R23" i="1" s="1"/>
  <c r="Q23" i="1" s="1"/>
  <c r="O23" i="1" s="1"/>
  <c r="N23" i="1" s="1"/>
  <c r="M23" i="1" s="1"/>
  <c r="L23" i="1" s="1"/>
  <c r="J23" i="1" s="1"/>
  <c r="I23" i="1" s="1"/>
  <c r="H23" i="1" s="1"/>
  <c r="G23" i="1" s="1"/>
  <c r="BE20" i="1"/>
  <c r="BE19" i="1"/>
  <c r="BE18" i="1"/>
  <c r="BE12" i="1"/>
  <c r="BE11" i="1"/>
  <c r="BE10" i="1"/>
  <c r="BE4" i="1"/>
  <c r="BE3" i="1"/>
  <c r="BE2" i="1"/>
  <c r="G4" i="1"/>
  <c r="H4" i="1"/>
  <c r="I4" i="1"/>
  <c r="J4" i="1"/>
  <c r="L4" i="1"/>
  <c r="M4" i="1"/>
  <c r="M19" i="1" s="1"/>
  <c r="N4" i="1"/>
  <c r="O4" i="1"/>
  <c r="O19" i="1" s="1"/>
  <c r="Q4" i="1"/>
  <c r="R4" i="1"/>
  <c r="S4" i="1"/>
  <c r="T4" i="1"/>
  <c r="AQ3" i="1" s="1"/>
  <c r="V4" i="1"/>
  <c r="AS43" i="1" s="1"/>
  <c r="W4" i="1"/>
  <c r="X4" i="1"/>
  <c r="Y4" i="1"/>
  <c r="G5" i="1"/>
  <c r="H5" i="1"/>
  <c r="I5" i="1"/>
  <c r="J5" i="1"/>
  <c r="L5" i="1"/>
  <c r="M5" i="1"/>
  <c r="N5" i="1"/>
  <c r="AK11" i="1" s="1"/>
  <c r="O5" i="1"/>
  <c r="Q5" i="1"/>
  <c r="R5" i="1"/>
  <c r="S5" i="1"/>
  <c r="T5" i="1"/>
  <c r="V5" i="1"/>
  <c r="W5" i="1"/>
  <c r="X5" i="1"/>
  <c r="Y5" i="1"/>
  <c r="G6" i="1"/>
  <c r="H6" i="1"/>
  <c r="I6" i="1"/>
  <c r="J6" i="1"/>
  <c r="L6" i="1"/>
  <c r="M6" i="1"/>
  <c r="N6" i="1"/>
  <c r="O6" i="1"/>
  <c r="Q6" i="1"/>
  <c r="R6" i="1"/>
  <c r="S6" i="1"/>
  <c r="T6" i="1"/>
  <c r="V6" i="1"/>
  <c r="W6" i="1"/>
  <c r="X6" i="1"/>
  <c r="Y6" i="1"/>
  <c r="G7" i="1"/>
  <c r="H7" i="1"/>
  <c r="I7" i="1"/>
  <c r="J7" i="1"/>
  <c r="L7" i="1"/>
  <c r="M7" i="1"/>
  <c r="N7" i="1"/>
  <c r="O7" i="1"/>
  <c r="Q7" i="1"/>
  <c r="R7" i="1"/>
  <c r="S7" i="1"/>
  <c r="T7" i="1"/>
  <c r="V7" i="1"/>
  <c r="W7" i="1"/>
  <c r="X7" i="1"/>
  <c r="Y7" i="1"/>
  <c r="G8" i="1"/>
  <c r="H8" i="1"/>
  <c r="I8" i="1"/>
  <c r="J8" i="1"/>
  <c r="L8" i="1"/>
  <c r="M8" i="1"/>
  <c r="N8" i="1"/>
  <c r="O8" i="1"/>
  <c r="Q8" i="1"/>
  <c r="R8" i="1"/>
  <c r="S8" i="1"/>
  <c r="T8" i="1"/>
  <c r="V8" i="1"/>
  <c r="W8" i="1"/>
  <c r="X8" i="1"/>
  <c r="Y8" i="1"/>
  <c r="G9" i="1"/>
  <c r="H9" i="1"/>
  <c r="I9" i="1"/>
  <c r="J9" i="1"/>
  <c r="L9" i="1"/>
  <c r="M9" i="1"/>
  <c r="N9" i="1"/>
  <c r="O9" i="1"/>
  <c r="Q9" i="1"/>
  <c r="R9" i="1"/>
  <c r="S9" i="1"/>
  <c r="T9" i="1"/>
  <c r="V9" i="1"/>
  <c r="W9" i="1"/>
  <c r="X9" i="1"/>
  <c r="Y9" i="1"/>
  <c r="AR52" i="1"/>
  <c r="AM52" i="1"/>
  <c r="AH52" i="1"/>
  <c r="AR51" i="1"/>
  <c r="AM51" i="1"/>
  <c r="AH51" i="1"/>
  <c r="AR44" i="1"/>
  <c r="AM44" i="1"/>
  <c r="AH44" i="1"/>
  <c r="AV43" i="1"/>
  <c r="AU43" i="1"/>
  <c r="AR43" i="1"/>
  <c r="AM43" i="1"/>
  <c r="AJ43" i="1"/>
  <c r="AI43" i="1"/>
  <c r="AH43" i="1"/>
  <c r="AR36" i="1"/>
  <c r="AM36" i="1"/>
  <c r="AH36" i="1"/>
  <c r="AR35" i="1"/>
  <c r="AM35" i="1"/>
  <c r="AH35" i="1"/>
  <c r="AR28" i="1"/>
  <c r="AM28" i="1"/>
  <c r="AH28" i="1"/>
  <c r="AR27" i="1"/>
  <c r="AM27" i="1"/>
  <c r="AH27" i="1"/>
  <c r="BC20" i="1"/>
  <c r="AR20" i="1"/>
  <c r="AM20" i="1"/>
  <c r="AH20" i="1"/>
  <c r="AR19" i="1"/>
  <c r="AM19" i="1"/>
  <c r="AH19" i="1"/>
  <c r="AR12" i="1"/>
  <c r="AM12" i="1"/>
  <c r="AH12" i="1"/>
  <c r="AR11" i="1"/>
  <c r="AM11" i="1"/>
  <c r="AH11" i="1"/>
  <c r="AR4" i="1"/>
  <c r="AM4" i="1"/>
  <c r="AH4" i="1"/>
  <c r="BC3" i="1"/>
  <c r="AT3" i="1"/>
  <c r="AR3" i="1"/>
  <c r="AM3" i="1"/>
  <c r="AK3" i="1"/>
  <c r="AH3" i="1"/>
  <c r="AG3" i="1"/>
  <c r="Z4" i="1"/>
  <c r="C4" i="1"/>
  <c r="AO11" i="1"/>
  <c r="AJ11" i="1"/>
  <c r="Y19" i="1"/>
  <c r="X19" i="1"/>
  <c r="AT43" i="1"/>
  <c r="AP3" i="1"/>
  <c r="R19" i="1"/>
  <c r="Q19" i="1"/>
  <c r="N19" i="1"/>
  <c r="L19" i="1"/>
  <c r="AG43" i="1"/>
  <c r="AF3" i="1"/>
  <c r="AE3" i="1"/>
  <c r="C10" i="1"/>
  <c r="BC27" i="1" s="1"/>
  <c r="C5" i="1"/>
  <c r="C11" i="1" s="1"/>
  <c r="BC44" i="1" s="1"/>
  <c r="C7" i="1"/>
  <c r="Z7" i="1" s="1"/>
  <c r="AS3" i="1" l="1"/>
  <c r="AD43" i="1"/>
  <c r="Y21" i="1"/>
  <c r="Y10" i="1" s="1"/>
  <c r="X18" i="1"/>
  <c r="W18" i="1" s="1"/>
  <c r="Z5" i="1"/>
  <c r="T19" i="1"/>
  <c r="M24" i="1"/>
  <c r="AI3" i="1"/>
  <c r="AU3" i="1"/>
  <c r="AK43" i="1"/>
  <c r="BC43" i="1"/>
  <c r="BC46" i="1" s="1"/>
  <c r="S19" i="1"/>
  <c r="G34" i="1"/>
  <c r="V34" i="1"/>
  <c r="H34" i="1"/>
  <c r="W34" i="1"/>
  <c r="V19" i="1"/>
  <c r="N24" i="1"/>
  <c r="AJ3" i="1"/>
  <c r="AV3" i="1"/>
  <c r="AL43" i="1"/>
  <c r="X34" i="1"/>
  <c r="X36" i="1" s="1"/>
  <c r="X13" i="1" s="1"/>
  <c r="BC6" i="1"/>
  <c r="AO4" i="1"/>
  <c r="T34" i="1"/>
  <c r="H19" i="1"/>
  <c r="J34" i="1"/>
  <c r="Y34" i="1"/>
  <c r="I19" i="1"/>
  <c r="AL3" i="1"/>
  <c r="AK19" i="1"/>
  <c r="BC19" i="1"/>
  <c r="BC22" i="1" s="1"/>
  <c r="AN43" i="1"/>
  <c r="L34" i="1"/>
  <c r="J19" i="1"/>
  <c r="R24" i="1"/>
  <c r="BC35" i="1"/>
  <c r="AO43" i="1"/>
  <c r="M34" i="1"/>
  <c r="AN3" i="1"/>
  <c r="BC28" i="1"/>
  <c r="BC30" i="1" s="1"/>
  <c r="AP43" i="1"/>
  <c r="AJ19" i="1"/>
  <c r="N34" i="1"/>
  <c r="Z11" i="1"/>
  <c r="AO3" i="1"/>
  <c r="AE43" i="1"/>
  <c r="AQ43" i="1"/>
  <c r="O34" i="1"/>
  <c r="Z10" i="1"/>
  <c r="AO19" i="1"/>
  <c r="AF43" i="1"/>
  <c r="I34" i="1"/>
  <c r="W19" i="1"/>
  <c r="Q34" i="1"/>
  <c r="R34" i="1"/>
  <c r="AJ4" i="1"/>
  <c r="S34" i="1"/>
  <c r="AK4" i="1"/>
  <c r="BC4" i="1"/>
  <c r="BC11" i="1"/>
  <c r="AD3" i="1"/>
  <c r="G19" i="1"/>
  <c r="V18" i="1"/>
  <c r="W21" i="1"/>
  <c r="W10" i="1" s="1"/>
  <c r="C13" i="1"/>
  <c r="Z13" i="1" s="1"/>
  <c r="C9" i="1"/>
  <c r="C6" i="1"/>
  <c r="C8" i="1"/>
  <c r="X21" i="1" l="1"/>
  <c r="X10" i="1" s="1"/>
  <c r="AU27" i="1" s="1"/>
  <c r="Y36" i="1"/>
  <c r="Y13" i="1" s="1"/>
  <c r="X24" i="1"/>
  <c r="AU11" i="1"/>
  <c r="AU4" i="1"/>
  <c r="AU19" i="1"/>
  <c r="V24" i="1"/>
  <c r="AS11" i="1"/>
  <c r="AS4" i="1"/>
  <c r="AS19" i="1"/>
  <c r="AT20" i="1"/>
  <c r="AT27" i="1"/>
  <c r="J24" i="1"/>
  <c r="AG11" i="1"/>
  <c r="AG4" i="1"/>
  <c r="AG19" i="1"/>
  <c r="AI11" i="1"/>
  <c r="AI4" i="1"/>
  <c r="L24" i="1"/>
  <c r="AI19" i="1"/>
  <c r="C15" i="1"/>
  <c r="Z15" i="1" s="1"/>
  <c r="X44" i="1"/>
  <c r="I44" i="1"/>
  <c r="W44" i="1"/>
  <c r="H44" i="1"/>
  <c r="Z9" i="1"/>
  <c r="V44" i="1"/>
  <c r="G44" i="1"/>
  <c r="T44" i="1"/>
  <c r="N44" i="1"/>
  <c r="J44" i="1"/>
  <c r="S44" i="1"/>
  <c r="R44" i="1"/>
  <c r="Q44" i="1"/>
  <c r="O44" i="1"/>
  <c r="Y44" i="1"/>
  <c r="M44" i="1"/>
  <c r="L44" i="1"/>
  <c r="Y24" i="1"/>
  <c r="AV11" i="1"/>
  <c r="AV4" i="1"/>
  <c r="AU2" i="1" s="1"/>
  <c r="AV19" i="1"/>
  <c r="AN19" i="1"/>
  <c r="Q24" i="1"/>
  <c r="AN11" i="1"/>
  <c r="AN4" i="1"/>
  <c r="AD19" i="1"/>
  <c r="G24" i="1"/>
  <c r="AD11" i="1"/>
  <c r="AD4" i="1"/>
  <c r="W24" i="1"/>
  <c r="AT11" i="1"/>
  <c r="AT4" i="1"/>
  <c r="AT19" i="1"/>
  <c r="AF19" i="1"/>
  <c r="I24" i="1"/>
  <c r="AF11" i="1"/>
  <c r="AF4" i="1"/>
  <c r="AP19" i="1"/>
  <c r="S24" i="1"/>
  <c r="AP11" i="1"/>
  <c r="AP4" i="1"/>
  <c r="C14" i="1"/>
  <c r="N39" i="1"/>
  <c r="Z8" i="1"/>
  <c r="M39" i="1"/>
  <c r="L39" i="1"/>
  <c r="Y39" i="1"/>
  <c r="J39" i="1"/>
  <c r="X39" i="1"/>
  <c r="I39" i="1"/>
  <c r="O39" i="1"/>
  <c r="W39" i="1"/>
  <c r="H39" i="1"/>
  <c r="S39" i="1"/>
  <c r="V39" i="1"/>
  <c r="G39" i="1"/>
  <c r="T39" i="1"/>
  <c r="R39" i="1"/>
  <c r="Q39" i="1"/>
  <c r="AE19" i="1"/>
  <c r="H24" i="1"/>
  <c r="AE11" i="1"/>
  <c r="AE4" i="1"/>
  <c r="AV20" i="1"/>
  <c r="AV27" i="1"/>
  <c r="C12" i="1"/>
  <c r="BC12" i="1"/>
  <c r="BC14" i="1" s="1"/>
  <c r="Z6" i="1"/>
  <c r="BC52" i="1"/>
  <c r="AQ19" i="1"/>
  <c r="T24" i="1"/>
  <c r="AQ11" i="1"/>
  <c r="AQ4" i="1"/>
  <c r="AL4" i="1"/>
  <c r="O24" i="1"/>
  <c r="AL19" i="1"/>
  <c r="AL11" i="1"/>
  <c r="T18" i="1"/>
  <c r="V21" i="1"/>
  <c r="V10" i="1" s="1"/>
  <c r="W36" i="1"/>
  <c r="W13" i="1" s="1"/>
  <c r="AU20" i="1" l="1"/>
  <c r="AT2" i="1"/>
  <c r="AU6" i="1"/>
  <c r="AU12" i="1"/>
  <c r="X29" i="1"/>
  <c r="AU52" i="1"/>
  <c r="AN12" i="1"/>
  <c r="Q29" i="1"/>
  <c r="AN52" i="1"/>
  <c r="BC36" i="1"/>
  <c r="BC38" i="1" s="1"/>
  <c r="Z12" i="1"/>
  <c r="BC51" i="1"/>
  <c r="BC54" i="1" s="1"/>
  <c r="Z14" i="1"/>
  <c r="AU18" i="1"/>
  <c r="AV22" i="1"/>
  <c r="AV6" i="1"/>
  <c r="N29" i="1"/>
  <c r="AK12" i="1"/>
  <c r="AK52" i="1"/>
  <c r="AQ52" i="1"/>
  <c r="AQ12" i="1"/>
  <c r="T29" i="1"/>
  <c r="AS12" i="1"/>
  <c r="AS52" i="1"/>
  <c r="V29" i="1"/>
  <c r="L29" i="1"/>
  <c r="AI12" i="1"/>
  <c r="AI52" i="1"/>
  <c r="AV12" i="1"/>
  <c r="AV14" i="1" s="1"/>
  <c r="Y29" i="1"/>
  <c r="AV52" i="1"/>
  <c r="Y26" i="1"/>
  <c r="Y11" i="1" s="1"/>
  <c r="AE52" i="1"/>
  <c r="H29" i="1"/>
  <c r="AE12" i="1"/>
  <c r="S29" i="1"/>
  <c r="AP52" i="1"/>
  <c r="AP12" i="1"/>
  <c r="AS20" i="1"/>
  <c r="AS27" i="1"/>
  <c r="AG12" i="1"/>
  <c r="J29" i="1"/>
  <c r="AG52" i="1"/>
  <c r="O29" i="1"/>
  <c r="AL12" i="1"/>
  <c r="AL52" i="1"/>
  <c r="M29" i="1"/>
  <c r="AJ12" i="1"/>
  <c r="AJ52" i="1"/>
  <c r="AD52" i="1"/>
  <c r="AD12" i="1"/>
  <c r="G29" i="1"/>
  <c r="AO12" i="1"/>
  <c r="R29" i="1"/>
  <c r="AO52" i="1"/>
  <c r="AF52" i="1"/>
  <c r="I29" i="1"/>
  <c r="AF12" i="1"/>
  <c r="W29" i="1"/>
  <c r="AT12" i="1"/>
  <c r="AT52" i="1"/>
  <c r="Y41" i="1"/>
  <c r="Y14" i="1" s="1"/>
  <c r="AV51" i="1" s="1"/>
  <c r="Y46" i="1"/>
  <c r="Y15" i="1" s="1"/>
  <c r="V36" i="1"/>
  <c r="V13" i="1" s="1"/>
  <c r="S18" i="1"/>
  <c r="T21" i="1"/>
  <c r="T10" i="1" s="1"/>
  <c r="AV44" i="1" l="1"/>
  <c r="AV28" i="1"/>
  <c r="AV35" i="1"/>
  <c r="X26" i="1"/>
  <c r="X11" i="1" s="1"/>
  <c r="X41" i="1"/>
  <c r="X14" i="1" s="1"/>
  <c r="AU51" i="1" s="1"/>
  <c r="AQ20" i="1"/>
  <c r="AQ27" i="1"/>
  <c r="AU10" i="1"/>
  <c r="X46" i="1"/>
  <c r="X15" i="1" s="1"/>
  <c r="AU50" i="1"/>
  <c r="AV54" i="1"/>
  <c r="Y31" i="1"/>
  <c r="Y12" i="1" s="1"/>
  <c r="AV36" i="1" s="1"/>
  <c r="AU34" i="1" s="1"/>
  <c r="AT18" i="1"/>
  <c r="AU22" i="1"/>
  <c r="AS2" i="1"/>
  <c r="AT6" i="1"/>
  <c r="S21" i="1"/>
  <c r="S10" i="1" s="1"/>
  <c r="R18" i="1"/>
  <c r="T36" i="1"/>
  <c r="T13" i="1" s="1"/>
  <c r="AU44" i="1" l="1"/>
  <c r="AU28" i="1"/>
  <c r="AU35" i="1"/>
  <c r="AS6" i="1"/>
  <c r="AQ2" i="1"/>
  <c r="AS18" i="1"/>
  <c r="AT22" i="1"/>
  <c r="AT34" i="1"/>
  <c r="AU38" i="1"/>
  <c r="AV38" i="1"/>
  <c r="AT10" i="1"/>
  <c r="AU14" i="1"/>
  <c r="X31" i="1"/>
  <c r="X12" i="1" s="1"/>
  <c r="AU36" i="1" s="1"/>
  <c r="AP20" i="1"/>
  <c r="AP27" i="1"/>
  <c r="AT50" i="1"/>
  <c r="AU54" i="1"/>
  <c r="AV30" i="1"/>
  <c r="AU26" i="1"/>
  <c r="W41" i="1"/>
  <c r="W14" i="1" s="1"/>
  <c r="AT51" i="1" s="1"/>
  <c r="W26" i="1"/>
  <c r="W11" i="1" s="1"/>
  <c r="W46" i="1"/>
  <c r="W15" i="1" s="1"/>
  <c r="AU42" i="1"/>
  <c r="AV46" i="1"/>
  <c r="S36" i="1"/>
  <c r="S13" i="1" s="1"/>
  <c r="R21" i="1"/>
  <c r="R10" i="1" s="1"/>
  <c r="Q18" i="1"/>
  <c r="AT44" i="1" l="1"/>
  <c r="AT28" i="1"/>
  <c r="AT35" i="1"/>
  <c r="AQ6" i="1"/>
  <c r="AP2" i="1"/>
  <c r="AN8" i="1"/>
  <c r="V41" i="1"/>
  <c r="V14" i="1" s="1"/>
  <c r="AS51" i="1" s="1"/>
  <c r="AT38" i="1"/>
  <c r="AS34" i="1"/>
  <c r="AS22" i="1"/>
  <c r="AQ18" i="1"/>
  <c r="V26" i="1"/>
  <c r="V11" i="1" s="1"/>
  <c r="AT54" i="1"/>
  <c r="AS50" i="1"/>
  <c r="AO20" i="1"/>
  <c r="AO27" i="1"/>
  <c r="AU46" i="1"/>
  <c r="AT42" i="1"/>
  <c r="AT14" i="1"/>
  <c r="AS10" i="1"/>
  <c r="AU30" i="1"/>
  <c r="AT26" i="1"/>
  <c r="V46" i="1"/>
  <c r="V15" i="1" s="1"/>
  <c r="W31" i="1"/>
  <c r="W12" i="1" s="1"/>
  <c r="AT36" i="1" s="1"/>
  <c r="Q21" i="1"/>
  <c r="Q10" i="1" s="1"/>
  <c r="O18" i="1"/>
  <c r="R36" i="1"/>
  <c r="R13" i="1" s="1"/>
  <c r="AQ22" i="1" l="1"/>
  <c r="AN24" i="1"/>
  <c r="AP18" i="1"/>
  <c r="AS26" i="1"/>
  <c r="AT30" i="1"/>
  <c r="AS14" i="1"/>
  <c r="AQ10" i="1"/>
  <c r="AO2" i="1"/>
  <c r="AP6" i="1"/>
  <c r="AT46" i="1"/>
  <c r="AS42" i="1"/>
  <c r="AN20" i="1"/>
  <c r="AN27" i="1"/>
  <c r="AS54" i="1"/>
  <c r="AQ50" i="1"/>
  <c r="V31" i="1"/>
  <c r="V12" i="1" s="1"/>
  <c r="AS36" i="1" s="1"/>
  <c r="AQ34" i="1" s="1"/>
  <c r="T41" i="1"/>
  <c r="T14" i="1" s="1"/>
  <c r="AQ51" i="1" s="1"/>
  <c r="T46" i="1"/>
  <c r="T15" i="1" s="1"/>
  <c r="AS44" i="1"/>
  <c r="AS28" i="1"/>
  <c r="AS35" i="1"/>
  <c r="T26" i="1"/>
  <c r="T11" i="1" s="1"/>
  <c r="Q36" i="1"/>
  <c r="Q13" i="1" s="1"/>
  <c r="O21" i="1"/>
  <c r="O10" i="1" s="1"/>
  <c r="N18" i="1"/>
  <c r="AS38" i="1" l="1"/>
  <c r="AL27" i="1"/>
  <c r="AL20" i="1"/>
  <c r="AS46" i="1"/>
  <c r="AQ42" i="1"/>
  <c r="AN2" i="1"/>
  <c r="AO6" i="1"/>
  <c r="S26" i="1"/>
  <c r="S11" i="1" s="1"/>
  <c r="T31" i="1"/>
  <c r="T12" i="1" s="1"/>
  <c r="AQ36" i="1" s="1"/>
  <c r="AS30" i="1"/>
  <c r="AQ26" i="1"/>
  <c r="AQ35" i="1"/>
  <c r="AQ28" i="1"/>
  <c r="AQ44" i="1"/>
  <c r="AQ54" i="1"/>
  <c r="AN56" i="1"/>
  <c r="AP50" i="1"/>
  <c r="AP22" i="1"/>
  <c r="AO18" i="1"/>
  <c r="S41" i="1"/>
  <c r="S14" i="1" s="1"/>
  <c r="AP51" i="1" s="1"/>
  <c r="S46" i="1"/>
  <c r="S15" i="1" s="1"/>
  <c r="AN40" i="1"/>
  <c r="AQ14" i="1"/>
  <c r="AP10" i="1"/>
  <c r="AN16" i="1"/>
  <c r="M18" i="1"/>
  <c r="N21" i="1"/>
  <c r="N10" i="1" s="1"/>
  <c r="O36" i="1"/>
  <c r="O13" i="1" s="1"/>
  <c r="AP34" i="1" l="1"/>
  <c r="S31" i="1"/>
  <c r="S12" i="1" s="1"/>
  <c r="AP36" i="1" s="1"/>
  <c r="AN6" i="1"/>
  <c r="AJ8" i="1" s="1"/>
  <c r="AL2" i="1"/>
  <c r="R46" i="1"/>
  <c r="R15" i="1" s="1"/>
  <c r="R41" i="1"/>
  <c r="R14" i="1" s="1"/>
  <c r="AO51" i="1" s="1"/>
  <c r="AP28" i="1"/>
  <c r="AP35" i="1"/>
  <c r="AO34" i="1" s="1"/>
  <c r="AP44" i="1"/>
  <c r="AQ46" i="1"/>
  <c r="AN48" i="1"/>
  <c r="AP42" i="1"/>
  <c r="AQ30" i="1"/>
  <c r="AN32" i="1"/>
  <c r="AP26" i="1"/>
  <c r="AK20" i="1"/>
  <c r="AK27" i="1"/>
  <c r="AN18" i="1"/>
  <c r="AO22" i="1"/>
  <c r="AO10" i="1"/>
  <c r="AP14" i="1"/>
  <c r="AQ38" i="1"/>
  <c r="R26" i="1"/>
  <c r="R11" i="1" s="1"/>
  <c r="AP54" i="1"/>
  <c r="AO50" i="1"/>
  <c r="N36" i="1"/>
  <c r="N13" i="1" s="1"/>
  <c r="L18" i="1"/>
  <c r="M21" i="1"/>
  <c r="M10" i="1" s="1"/>
  <c r="AK2" i="1" l="1"/>
  <c r="AL6" i="1"/>
  <c r="Q41" i="1"/>
  <c r="Q14" i="1" s="1"/>
  <c r="AN51" i="1" s="1"/>
  <c r="Q46" i="1"/>
  <c r="Q15" i="1" s="1"/>
  <c r="AJ20" i="1"/>
  <c r="AJ27" i="1"/>
  <c r="AO26" i="1"/>
  <c r="AP30" i="1"/>
  <c r="Q26" i="1"/>
  <c r="Q11" i="1" s="1"/>
  <c r="AP46" i="1"/>
  <c r="AO42" i="1"/>
  <c r="R31" i="1"/>
  <c r="R12" i="1" s="1"/>
  <c r="AO36" i="1" s="1"/>
  <c r="AO54" i="1"/>
  <c r="AN50" i="1"/>
  <c r="AO28" i="1"/>
  <c r="AO35" i="1"/>
  <c r="AN34" i="1" s="1"/>
  <c r="AO44" i="1"/>
  <c r="AN10" i="1"/>
  <c r="AO14" i="1"/>
  <c r="AN22" i="1"/>
  <c r="AJ24" i="1" s="1"/>
  <c r="AL18" i="1"/>
  <c r="AP38" i="1"/>
  <c r="J18" i="1"/>
  <c r="L21" i="1"/>
  <c r="L10" i="1" s="1"/>
  <c r="M36" i="1"/>
  <c r="M13" i="1" s="1"/>
  <c r="AN26" i="1" l="1"/>
  <c r="AO30" i="1"/>
  <c r="O41" i="1"/>
  <c r="O14" i="1" s="1"/>
  <c r="AL51" i="1" s="1"/>
  <c r="AN54" i="1"/>
  <c r="AJ56" i="1" s="1"/>
  <c r="AL50" i="1"/>
  <c r="Q31" i="1"/>
  <c r="Q12" i="1" s="1"/>
  <c r="AN36" i="1" s="1"/>
  <c r="AL10" i="1"/>
  <c r="AN14" i="1"/>
  <c r="AJ16" i="1" s="1"/>
  <c r="O46" i="1"/>
  <c r="O15" i="1" s="1"/>
  <c r="AN42" i="1"/>
  <c r="AO46" i="1"/>
  <c r="AI20" i="1"/>
  <c r="AI27" i="1"/>
  <c r="AK18" i="1"/>
  <c r="AL22" i="1"/>
  <c r="AJ2" i="1"/>
  <c r="AK6" i="1"/>
  <c r="AN28" i="1"/>
  <c r="AN35" i="1"/>
  <c r="AN44" i="1"/>
  <c r="AO38" i="1"/>
  <c r="O26" i="1"/>
  <c r="O11" i="1" s="1"/>
  <c r="L36" i="1"/>
  <c r="L13" i="1" s="1"/>
  <c r="J21" i="1"/>
  <c r="J10" i="1" s="1"/>
  <c r="I18" i="1"/>
  <c r="AL34" i="1" l="1"/>
  <c r="N41" i="1"/>
  <c r="N14" i="1" s="1"/>
  <c r="AK51" i="1" s="1"/>
  <c r="O31" i="1"/>
  <c r="O12" i="1" s="1"/>
  <c r="AL36" i="1" s="1"/>
  <c r="AK50" i="1"/>
  <c r="AL54" i="1"/>
  <c r="AL42" i="1"/>
  <c r="AN46" i="1"/>
  <c r="AJ48" i="1" s="1"/>
  <c r="AL26" i="1"/>
  <c r="AN30" i="1"/>
  <c r="AJ32" i="1" s="1"/>
  <c r="AG20" i="1"/>
  <c r="AG27" i="1"/>
  <c r="N46" i="1"/>
  <c r="N15" i="1" s="1"/>
  <c r="AN38" i="1"/>
  <c r="AJ40" i="1" s="1"/>
  <c r="AK10" i="1"/>
  <c r="AL14" i="1"/>
  <c r="AI2" i="1"/>
  <c r="AJ6" i="1"/>
  <c r="AJ18" i="1"/>
  <c r="AK22" i="1"/>
  <c r="N26" i="1"/>
  <c r="N11" i="1" s="1"/>
  <c r="AL44" i="1"/>
  <c r="AL28" i="1"/>
  <c r="AL35" i="1"/>
  <c r="H18" i="1"/>
  <c r="I21" i="1"/>
  <c r="I10" i="1" s="1"/>
  <c r="J36" i="1"/>
  <c r="J13" i="1" s="1"/>
  <c r="AL38" i="1" l="1"/>
  <c r="N31" i="1"/>
  <c r="N12" i="1" s="1"/>
  <c r="AK36" i="1" s="1"/>
  <c r="M26" i="1"/>
  <c r="M11" i="1" s="1"/>
  <c r="AK42" i="1"/>
  <c r="AL46" i="1"/>
  <c r="AK54" i="1"/>
  <c r="AJ50" i="1"/>
  <c r="M41" i="1"/>
  <c r="M14" i="1" s="1"/>
  <c r="AJ51" i="1" s="1"/>
  <c r="AL30" i="1"/>
  <c r="AK26" i="1"/>
  <c r="AJ10" i="1"/>
  <c r="AK14" i="1"/>
  <c r="M46" i="1"/>
  <c r="M15" i="1" s="1"/>
  <c r="AI18" i="1"/>
  <c r="AJ22" i="1"/>
  <c r="AI6" i="1"/>
  <c r="AG2" i="1"/>
  <c r="AF20" i="1"/>
  <c r="AF27" i="1"/>
  <c r="AK34" i="1"/>
  <c r="AK44" i="1"/>
  <c r="AK28" i="1"/>
  <c r="AK35" i="1"/>
  <c r="I36" i="1"/>
  <c r="I13" i="1" s="1"/>
  <c r="G18" i="1"/>
  <c r="G21" i="1" s="1"/>
  <c r="G10" i="1" s="1"/>
  <c r="H21" i="1"/>
  <c r="H10" i="1" s="1"/>
  <c r="AF2" i="1" l="1"/>
  <c r="AG6" i="1"/>
  <c r="AI50" i="1"/>
  <c r="AJ54" i="1"/>
  <c r="AJ42" i="1"/>
  <c r="AK46" i="1"/>
  <c r="AJ44" i="1"/>
  <c r="AJ28" i="1"/>
  <c r="AJ35" i="1"/>
  <c r="L46" i="1"/>
  <c r="L15" i="1" s="1"/>
  <c r="L26" i="1"/>
  <c r="L11" i="1" s="1"/>
  <c r="AK38" i="1"/>
  <c r="AJ34" i="1"/>
  <c r="AJ26" i="1"/>
  <c r="AK30" i="1"/>
  <c r="L41" i="1"/>
  <c r="L14" i="1" s="1"/>
  <c r="AI51" i="1" s="1"/>
  <c r="AI22" i="1"/>
  <c r="AG18" i="1"/>
  <c r="AE20" i="1"/>
  <c r="AE27" i="1"/>
  <c r="M31" i="1"/>
  <c r="M12" i="1" s="1"/>
  <c r="AJ36" i="1" s="1"/>
  <c r="AJ14" i="1"/>
  <c r="AI10" i="1"/>
  <c r="AD20" i="1"/>
  <c r="AD27" i="1"/>
  <c r="H36" i="1"/>
  <c r="H13" i="1" s="1"/>
  <c r="G36" i="1"/>
  <c r="G13" i="1" s="1"/>
  <c r="J26" i="1" l="1"/>
  <c r="J11" i="1" s="1"/>
  <c r="AF18" i="1"/>
  <c r="AG22" i="1"/>
  <c r="J46" i="1"/>
  <c r="J15" i="1" s="1"/>
  <c r="AI26" i="1"/>
  <c r="AJ30" i="1"/>
  <c r="L31" i="1"/>
  <c r="L12" i="1" s="1"/>
  <c r="AI36" i="1" s="1"/>
  <c r="AG10" i="1"/>
  <c r="AI14" i="1"/>
  <c r="AJ38" i="1"/>
  <c r="AI34" i="1"/>
  <c r="AG50" i="1"/>
  <c r="AI54" i="1"/>
  <c r="J41" i="1"/>
  <c r="J14" i="1" s="1"/>
  <c r="AG51" i="1" s="1"/>
  <c r="AI42" i="1"/>
  <c r="AJ46" i="1"/>
  <c r="AI44" i="1"/>
  <c r="AI28" i="1"/>
  <c r="AI35" i="1"/>
  <c r="AF6" i="1"/>
  <c r="AE2" i="1"/>
  <c r="AE18" i="1" l="1"/>
  <c r="AF22" i="1"/>
  <c r="J31" i="1"/>
  <c r="J12" i="1" s="1"/>
  <c r="AG36" i="1" s="1"/>
  <c r="I41" i="1"/>
  <c r="I14" i="1" s="1"/>
  <c r="AF51" i="1" s="1"/>
  <c r="AI38" i="1"/>
  <c r="AG34" i="1"/>
  <c r="AG42" i="1"/>
  <c r="AI46" i="1"/>
  <c r="AG26" i="1"/>
  <c r="AI30" i="1"/>
  <c r="AF50" i="1"/>
  <c r="AG54" i="1"/>
  <c r="AE6" i="1"/>
  <c r="AD2" i="1"/>
  <c r="AG44" i="1"/>
  <c r="AG28" i="1"/>
  <c r="AG35" i="1"/>
  <c r="I46" i="1"/>
  <c r="I15" i="1" s="1"/>
  <c r="AF10" i="1"/>
  <c r="AG14" i="1"/>
  <c r="I26" i="1"/>
  <c r="I11" i="1" s="1"/>
  <c r="AE10" i="1" l="1"/>
  <c r="AF14" i="1"/>
  <c r="G26" i="1"/>
  <c r="G11" i="1" s="1"/>
  <c r="H26" i="1"/>
  <c r="H11" i="1" s="1"/>
  <c r="H41" i="1"/>
  <c r="H14" i="1" s="1"/>
  <c r="AE51" i="1" s="1"/>
  <c r="G41" i="1"/>
  <c r="G14" i="1" s="1"/>
  <c r="AD51" i="1" s="1"/>
  <c r="BE50" i="1" s="1"/>
  <c r="AG46" i="1"/>
  <c r="AF42" i="1"/>
  <c r="I31" i="1"/>
  <c r="I12" i="1" s="1"/>
  <c r="AF36" i="1" s="1"/>
  <c r="G46" i="1"/>
  <c r="G15" i="1" s="1"/>
  <c r="H46" i="1"/>
  <c r="H15" i="1" s="1"/>
  <c r="AF8" i="1"/>
  <c r="AD6" i="1"/>
  <c r="AG30" i="1"/>
  <c r="AF26" i="1"/>
  <c r="AG38" i="1"/>
  <c r="AF34" i="1"/>
  <c r="AF35" i="1"/>
  <c r="AF44" i="1"/>
  <c r="AF28" i="1"/>
  <c r="AF54" i="1"/>
  <c r="AE50" i="1"/>
  <c r="AD18" i="1"/>
  <c r="AE22" i="1"/>
  <c r="AD22" i="1" l="1"/>
  <c r="AF24" i="1"/>
  <c r="AF46" i="1"/>
  <c r="AE42" i="1"/>
  <c r="AD50" i="1"/>
  <c r="AE54" i="1"/>
  <c r="AE26" i="1"/>
  <c r="AF30" i="1"/>
  <c r="AE35" i="1"/>
  <c r="AE28" i="1"/>
  <c r="AE44" i="1"/>
  <c r="AD28" i="1"/>
  <c r="BE26" i="1" s="1"/>
  <c r="AD35" i="1"/>
  <c r="AD44" i="1"/>
  <c r="BE42" i="1" s="1"/>
  <c r="AF38" i="1"/>
  <c r="AE34" i="1"/>
  <c r="AY8" i="1"/>
  <c r="AW8" i="1"/>
  <c r="AX6" i="1"/>
  <c r="G31" i="1"/>
  <c r="G12" i="1" s="1"/>
  <c r="AD36" i="1" s="1"/>
  <c r="H31" i="1"/>
  <c r="H12" i="1" s="1"/>
  <c r="AE36" i="1" s="1"/>
  <c r="AE14" i="1"/>
  <c r="AD10" i="1"/>
  <c r="BE34" i="1" l="1"/>
  <c r="AR8" i="1"/>
  <c r="AE30" i="1"/>
  <c r="AD26" i="1"/>
  <c r="AE46" i="1"/>
  <c r="AD42" i="1"/>
  <c r="AD54" i="1"/>
  <c r="BE51" i="1" s="1"/>
  <c r="AF56" i="1"/>
  <c r="AD34" i="1"/>
  <c r="AE38" i="1"/>
  <c r="AD14" i="1"/>
  <c r="AF16" i="1"/>
  <c r="AW24" i="1"/>
  <c r="AX22" i="1"/>
  <c r="AY24" i="1"/>
  <c r="AD38" i="1" l="1"/>
  <c r="BE35" i="1" s="1"/>
  <c r="AF40" i="1"/>
  <c r="AD46" i="1"/>
  <c r="BE43" i="1" s="1"/>
  <c r="AF48" i="1"/>
  <c r="AD30" i="1"/>
  <c r="BE27" i="1" s="1"/>
  <c r="AF32" i="1"/>
  <c r="AR24" i="1"/>
  <c r="AX54" i="1"/>
  <c r="BE52" i="1" s="1"/>
  <c r="AW56" i="1"/>
  <c r="AY56" i="1"/>
  <c r="AX14" i="1"/>
  <c r="AY16" i="1"/>
  <c r="AW16" i="1"/>
  <c r="AR56" i="1" l="1"/>
  <c r="AW32" i="1"/>
  <c r="AX30" i="1"/>
  <c r="BE28" i="1" s="1"/>
  <c r="AY32" i="1"/>
  <c r="AX46" i="1"/>
  <c r="BE44" i="1" s="1"/>
  <c r="AW48" i="1"/>
  <c r="AY48" i="1"/>
  <c r="AR16" i="1"/>
  <c r="AX38" i="1"/>
  <c r="BE36" i="1" s="1"/>
  <c r="AW40" i="1"/>
  <c r="AY40" i="1"/>
  <c r="AR48" i="1" l="1"/>
  <c r="AR40" i="1"/>
  <c r="AR32" i="1"/>
</calcChain>
</file>

<file path=xl/sharedStrings.xml><?xml version="1.0" encoding="utf-8"?>
<sst xmlns="http://schemas.openxmlformats.org/spreadsheetml/2006/main" count="466" uniqueCount="90">
  <si>
    <t>A=</t>
  </si>
  <si>
    <t>C=</t>
  </si>
  <si>
    <t>X1=</t>
  </si>
  <si>
    <t>B1=</t>
  </si>
  <si>
    <t>X2=</t>
  </si>
  <si>
    <t>B2=</t>
  </si>
  <si>
    <t>X3=</t>
  </si>
  <si>
    <t>A+C=</t>
  </si>
  <si>
    <t>B3=</t>
  </si>
  <si>
    <t>X4=</t>
  </si>
  <si>
    <t>A+C+C=</t>
  </si>
  <si>
    <t>B4=</t>
  </si>
  <si>
    <t>X5=</t>
  </si>
  <si>
    <t>C-A=</t>
  </si>
  <si>
    <t>B5=</t>
  </si>
  <si>
    <t>X6=</t>
  </si>
  <si>
    <t>65536-X4=</t>
  </si>
  <si>
    <t>B6=</t>
  </si>
  <si>
    <t>X7=</t>
  </si>
  <si>
    <t>-X1=</t>
  </si>
  <si>
    <t>B7=</t>
  </si>
  <si>
    <t>-B1=</t>
  </si>
  <si>
    <t>X8=</t>
  </si>
  <si>
    <t>-X2=</t>
  </si>
  <si>
    <t>B8=</t>
  </si>
  <si>
    <t>-B2=</t>
  </si>
  <si>
    <t>X9=</t>
  </si>
  <si>
    <t>-X3=</t>
  </si>
  <si>
    <t>B9=</t>
  </si>
  <si>
    <t>-B3=</t>
  </si>
  <si>
    <t>X10=</t>
  </si>
  <si>
    <t>-X4=</t>
  </si>
  <si>
    <t>B10=</t>
  </si>
  <si>
    <t>-B4=</t>
  </si>
  <si>
    <t>X11=</t>
  </si>
  <si>
    <t>-X5=</t>
  </si>
  <si>
    <t>B11=</t>
  </si>
  <si>
    <t>-B5=</t>
  </si>
  <si>
    <t>X12=</t>
  </si>
  <si>
    <t>-X6=</t>
  </si>
  <si>
    <t>B12=</t>
  </si>
  <si>
    <t>-B6=</t>
  </si>
  <si>
    <t>ОДЗ</t>
  </si>
  <si>
    <t>от 2^15-1</t>
  </si>
  <si>
    <t>до -2^15</t>
  </si>
  <si>
    <t>Степени двойки</t>
  </si>
  <si>
    <t>Входит ли число в ОДЗ</t>
  </si>
  <si>
    <t>.</t>
  </si>
  <si>
    <t>Перенос</t>
  </si>
  <si>
    <t>Обратный код</t>
  </si>
  <si>
    <t>Инкрементирование</t>
  </si>
  <si>
    <t>(Доп код) -B1=</t>
  </si>
  <si>
    <t>(Доп код) -B2=</t>
  </si>
  <si>
    <t>(Доп код) -B3=</t>
  </si>
  <si>
    <t>(Доп код) -B4=</t>
  </si>
  <si>
    <t>(Доп код) -B5=</t>
  </si>
  <si>
    <t>(Доп код) -B6=</t>
  </si>
  <si>
    <r>
      <t>B1</t>
    </r>
    <r>
      <rPr>
        <sz val="11"/>
        <color theme="1"/>
        <rFont val="Calibri"/>
        <family val="2"/>
        <charset val="204"/>
      </rPr>
      <t>₍₂₎</t>
    </r>
  </si>
  <si>
    <r>
      <t>X1</t>
    </r>
    <r>
      <rPr>
        <sz val="11"/>
        <color theme="1"/>
        <rFont val="Calibri"/>
        <family val="2"/>
        <charset val="204"/>
      </rPr>
      <t>₍₁₀₎</t>
    </r>
  </si>
  <si>
    <t>+</t>
  </si>
  <si>
    <t>B2₍₂₎</t>
  </si>
  <si>
    <t>X2₍₁₀₎</t>
  </si>
  <si>
    <t>…..........</t>
  </si>
  <si>
    <t>…</t>
  </si>
  <si>
    <t>….....</t>
  </si>
  <si>
    <t>…............</t>
  </si>
  <si>
    <t>=</t>
  </si>
  <si>
    <t>₍₁₀₎</t>
  </si>
  <si>
    <t>CF=</t>
  </si>
  <si>
    <t>PF=</t>
  </si>
  <si>
    <t>AF=</t>
  </si>
  <si>
    <t>ZF=</t>
  </si>
  <si>
    <t>SF=</t>
  </si>
  <si>
    <t>OF=</t>
  </si>
  <si>
    <r>
      <t>B2</t>
    </r>
    <r>
      <rPr>
        <sz val="11"/>
        <color theme="1"/>
        <rFont val="Calibri"/>
        <family val="2"/>
        <charset val="204"/>
      </rPr>
      <t>₍₂₎</t>
    </r>
  </si>
  <si>
    <r>
      <t>X2</t>
    </r>
    <r>
      <rPr>
        <sz val="11"/>
        <color theme="1"/>
        <rFont val="Calibri"/>
        <family val="2"/>
        <charset val="204"/>
      </rPr>
      <t>₍₁₀₎</t>
    </r>
  </si>
  <si>
    <t>B3₍₂₎</t>
  </si>
  <si>
    <t>X3₍₁₀₎</t>
  </si>
  <si>
    <t>B7₍₂₎</t>
  </si>
  <si>
    <t>X7₍₁₀₎</t>
  </si>
  <si>
    <r>
      <t>B7</t>
    </r>
    <r>
      <rPr>
        <sz val="11"/>
        <color theme="1"/>
        <rFont val="Calibri"/>
        <family val="2"/>
        <charset val="204"/>
      </rPr>
      <t>₍₂₎</t>
    </r>
  </si>
  <si>
    <r>
      <t>X7</t>
    </r>
    <r>
      <rPr>
        <sz val="11"/>
        <color theme="1"/>
        <rFont val="Calibri"/>
        <family val="2"/>
        <charset val="204"/>
      </rPr>
      <t>₍₁₀₎</t>
    </r>
  </si>
  <si>
    <t>B8₍₂₎</t>
  </si>
  <si>
    <t>X8₍₁₀₎</t>
  </si>
  <si>
    <r>
      <t>B8</t>
    </r>
    <r>
      <rPr>
        <sz val="11"/>
        <color theme="1"/>
        <rFont val="Calibri"/>
        <family val="2"/>
        <charset val="204"/>
      </rPr>
      <t>₍₂₎</t>
    </r>
  </si>
  <si>
    <r>
      <t>X8</t>
    </r>
    <r>
      <rPr>
        <sz val="11"/>
        <color theme="1"/>
        <rFont val="Calibri"/>
        <family val="2"/>
        <charset val="204"/>
      </rPr>
      <t>₍₁₀₎</t>
    </r>
  </si>
  <si>
    <t>B9₍₂₎</t>
  </si>
  <si>
    <t>X9₍₁₀₎</t>
  </si>
  <si>
    <r>
      <t>B11</t>
    </r>
    <r>
      <rPr>
        <sz val="11"/>
        <color theme="1"/>
        <rFont val="Calibri"/>
        <family val="2"/>
        <charset val="204"/>
      </rPr>
      <t>₍₂₎</t>
    </r>
  </si>
  <si>
    <r>
      <t>X11</t>
    </r>
    <r>
      <rPr>
        <sz val="11"/>
        <color theme="1"/>
        <rFont val="Calibri"/>
        <family val="2"/>
        <charset val="204"/>
      </rPr>
      <t>₍₁₀₎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</si>
</sst>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quotePrefix="1" applyBorder="1" applyAlignment="1">
      <alignment horizontal="right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/>
    </xf>
    <xf numFmtId="0" fontId="0" fillId="0" borderId="12" xfId="0" quotePrefix="1" applyBorder="1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right"/>
    </xf>
    <xf numFmtId="0" fontId="0" fillId="0" borderId="0" xfId="0" quotePrefix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0" fillId="2" borderId="14" xfId="0" applyFill="1" applyBorder="1" applyAlignment="1"/>
    <xf numFmtId="0" fontId="0" fillId="2" borderId="13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right"/>
    </xf>
    <xf numFmtId="0" fontId="0" fillId="0" borderId="0" xfId="0" quotePrefix="1" applyBorder="1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8" xfId="0" quotePrefix="1" applyBorder="1" applyAlignment="1">
      <alignment horizontal="right"/>
    </xf>
    <xf numFmtId="0" fontId="0" fillId="0" borderId="6" xfId="0" quotePrefix="1" applyBorder="1" applyAlignment="1">
      <alignment horizontal="right"/>
    </xf>
    <xf numFmtId="0" fontId="0" fillId="0" borderId="9" xfId="0" quotePrefix="1" applyBorder="1" applyAlignment="1">
      <alignment horizontal="right"/>
    </xf>
  </cellXfs>
  <cellStyles count="1">
    <cellStyle name="Обычный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5820-6689-4FF6-84F1-7567D70CE25D}">
  <dimension ref="A1:BK56"/>
  <sheetViews>
    <sheetView tabSelected="1" view="pageLayout" zoomScale="70" zoomScaleNormal="85" zoomScalePageLayoutView="70" workbookViewId="0">
      <selection activeCell="K12" sqref="K12"/>
    </sheetView>
  </sheetViews>
  <sheetFormatPr defaultColWidth="8.85546875" defaultRowHeight="15" x14ac:dyDescent="0.25"/>
  <cols>
    <col min="1" max="1" width="5.140625" bestFit="1" customWidth="1"/>
    <col min="2" max="2" width="9.85546875" bestFit="1" customWidth="1"/>
    <col min="3" max="3" width="8.5703125" bestFit="1" customWidth="1"/>
    <col min="5" max="5" width="5.28515625" bestFit="1" customWidth="1"/>
    <col min="6" max="6" width="20.140625" bestFit="1" customWidth="1"/>
    <col min="7" max="10" width="3.140625" bestFit="1" customWidth="1"/>
    <col min="11" max="11" width="1.7109375" bestFit="1" customWidth="1"/>
    <col min="12" max="13" width="3.140625" bestFit="1" customWidth="1"/>
    <col min="14" max="15" width="2.140625" bestFit="1" customWidth="1"/>
    <col min="16" max="16" width="1.7109375" bestFit="1" customWidth="1"/>
    <col min="17" max="20" width="2.140625" bestFit="1" customWidth="1"/>
    <col min="21" max="21" width="1.7109375" bestFit="1" customWidth="1"/>
    <col min="22" max="25" width="2.140625" bestFit="1" customWidth="1"/>
    <col min="26" max="26" width="21.85546875" bestFit="1" customWidth="1"/>
    <col min="28" max="28" width="2.140625" bestFit="1" customWidth="1"/>
    <col min="30" max="48" width="2.85546875" bestFit="1" customWidth="1"/>
    <col min="49" max="49" width="2.140625" bestFit="1" customWidth="1"/>
    <col min="50" max="50" width="6.85546875" bestFit="1" customWidth="1"/>
    <col min="51" max="51" width="3.5703125" bestFit="1" customWidth="1"/>
    <col min="53" max="53" width="2.85546875" bestFit="1" customWidth="1"/>
    <col min="54" max="54" width="6.5703125" bestFit="1" customWidth="1"/>
    <col min="55" max="55" width="9.5703125" bestFit="1" customWidth="1"/>
    <col min="56" max="56" width="3.5703125" bestFit="1" customWidth="1"/>
    <col min="57" max="57" width="99.7109375" bestFit="1" customWidth="1"/>
    <col min="59" max="60" width="6.42578125" bestFit="1" customWidth="1"/>
  </cols>
  <sheetData>
    <row r="1" spans="1:63" x14ac:dyDescent="0.25">
      <c r="A1" s="2"/>
      <c r="B1" s="39" t="s">
        <v>0</v>
      </c>
      <c r="C1" s="7">
        <v>658</v>
      </c>
      <c r="D1" s="2"/>
      <c r="E1" s="2"/>
      <c r="F1" s="2"/>
    </row>
    <row r="2" spans="1:63" ht="15" customHeight="1" x14ac:dyDescent="0.25">
      <c r="A2" s="2"/>
      <c r="B2" s="40" t="s">
        <v>1</v>
      </c>
      <c r="C2" s="12">
        <v>28434</v>
      </c>
      <c r="D2" s="2"/>
      <c r="E2" s="2"/>
      <c r="F2" s="2"/>
      <c r="G2" s="1" t="s">
        <v>45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  <c r="Z2" s="2"/>
      <c r="AB2" s="5"/>
      <c r="AC2" s="6" t="s">
        <v>48</v>
      </c>
      <c r="AD2" s="22">
        <f t="shared" ref="AD2:AE2" si="0">IF(OR(AE2+AE3+AE4=3,AE2+AE3+AE4=2),1,0)</f>
        <v>0</v>
      </c>
      <c r="AE2" s="22">
        <f t="shared" si="0"/>
        <v>0</v>
      </c>
      <c r="AF2" s="22">
        <f>IF(OR(AG2+AG3+AG4=3,AG2+AG3+AG4=2),1,0)</f>
        <v>0</v>
      </c>
      <c r="AG2" s="22">
        <f>IF(OR(AI2+AI3+AI4=3,AI2+AI3+AI4=2),1,0)</f>
        <v>1</v>
      </c>
      <c r="AH2" s="22"/>
      <c r="AI2" s="22">
        <f t="shared" ref="AI2:AJ2" si="1">IF(OR(AJ2+AJ3+AJ4=3,AJ2+AJ3+AJ4=2),1,0)</f>
        <v>1</v>
      </c>
      <c r="AJ2" s="22">
        <f t="shared" si="1"/>
        <v>1</v>
      </c>
      <c r="AK2" s="22">
        <f>IF(OR(AL2+AL3+AL4=3,AL2+AL3+AL4=2),1,0)</f>
        <v>0</v>
      </c>
      <c r="AL2" s="22">
        <f>IF(OR(AN2+AN3+AN4=3,AN2+AN3+AN4=2),1,0)</f>
        <v>0</v>
      </c>
      <c r="AM2" s="22"/>
      <c r="AN2" s="22">
        <f t="shared" ref="AN2:AO2" si="2">IF(OR(AO2+AO3+AO4=3,AO2+AO3+AO4=2),1,0)</f>
        <v>0</v>
      </c>
      <c r="AO2" s="22">
        <f t="shared" si="2"/>
        <v>0</v>
      </c>
      <c r="AP2" s="22">
        <f>IF(OR(AQ2+AQ3+AQ4=3,AQ2+AQ3+AQ4=2),1,0)</f>
        <v>1</v>
      </c>
      <c r="AQ2" s="22">
        <f>IF(OR(AS2+AS3+AS4=3,AS2+AS3+AS4=2),1,0)</f>
        <v>0</v>
      </c>
      <c r="AR2" s="22"/>
      <c r="AS2" s="22">
        <f>IF(OR(AT2+AT3+AT4=3,AT2+AT3+AT4=2),1,0)</f>
        <v>0</v>
      </c>
      <c r="AT2" s="22">
        <f>IF(OR(AU2+AU3+AU4=3,AU2+AU3+AU4=2),1,0)</f>
        <v>1</v>
      </c>
      <c r="AU2" s="22">
        <f>IF(AV3+AV4=2,1,0)</f>
        <v>0</v>
      </c>
      <c r="AV2" s="22"/>
      <c r="AW2" s="6"/>
      <c r="AX2" s="6"/>
      <c r="AY2" s="6"/>
      <c r="AZ2" s="6"/>
      <c r="BA2" s="6"/>
      <c r="BB2" s="6"/>
      <c r="BC2" s="6"/>
      <c r="BD2" s="7"/>
      <c r="BE2" s="34" t="str">
        <f>IF(AND(AD3=0,AD4=0),"При сложении двух положительных",IF(AND(AD3=1,AD4=1),"При сложении двух отрицательных","При сложении положительного и отрицательного"))</f>
        <v>При сложении двух положительных</v>
      </c>
      <c r="BK2" s="2"/>
    </row>
    <row r="3" spans="1:63" x14ac:dyDescent="0.25">
      <c r="A3" s="2"/>
      <c r="B3" s="2"/>
      <c r="C3" s="2"/>
      <c r="D3" s="2"/>
      <c r="E3" s="2"/>
      <c r="F3" s="2"/>
      <c r="G3" s="4">
        <v>15</v>
      </c>
      <c r="H3" s="4">
        <v>14</v>
      </c>
      <c r="I3" s="4">
        <v>13</v>
      </c>
      <c r="J3" s="4">
        <v>12</v>
      </c>
      <c r="K3" s="15"/>
      <c r="L3" s="4">
        <v>11</v>
      </c>
      <c r="M3" s="4">
        <v>10</v>
      </c>
      <c r="N3" s="4">
        <v>9</v>
      </c>
      <c r="O3" s="4">
        <v>8</v>
      </c>
      <c r="P3" s="15"/>
      <c r="Q3" s="4">
        <v>7</v>
      </c>
      <c r="R3" s="4">
        <v>6</v>
      </c>
      <c r="S3" s="4">
        <v>5</v>
      </c>
      <c r="T3" s="4">
        <v>4</v>
      </c>
      <c r="U3" s="15"/>
      <c r="V3" s="4">
        <v>3</v>
      </c>
      <c r="W3" s="4">
        <v>2</v>
      </c>
      <c r="X3" s="4">
        <v>1</v>
      </c>
      <c r="Y3" s="4">
        <v>0</v>
      </c>
      <c r="Z3" s="4" t="s">
        <v>46</v>
      </c>
      <c r="AB3" s="8"/>
      <c r="AC3" s="2" t="s">
        <v>57</v>
      </c>
      <c r="AD3" s="21">
        <f>G4</f>
        <v>0</v>
      </c>
      <c r="AE3" s="21">
        <f t="shared" ref="AE3:AT4" si="3">H4</f>
        <v>0</v>
      </c>
      <c r="AF3" s="21">
        <f t="shared" si="3"/>
        <v>0</v>
      </c>
      <c r="AG3" s="21">
        <f t="shared" si="3"/>
        <v>0</v>
      </c>
      <c r="AH3" s="21" t="str">
        <f t="shared" si="3"/>
        <v>.</v>
      </c>
      <c r="AI3" s="21">
        <f t="shared" si="3"/>
        <v>0</v>
      </c>
      <c r="AJ3" s="21">
        <f t="shared" si="3"/>
        <v>0</v>
      </c>
      <c r="AK3" s="21">
        <f t="shared" si="3"/>
        <v>1</v>
      </c>
      <c r="AL3" s="21">
        <f t="shared" si="3"/>
        <v>0</v>
      </c>
      <c r="AM3" s="21" t="str">
        <f t="shared" si="3"/>
        <v>.</v>
      </c>
      <c r="AN3" s="21">
        <f t="shared" si="3"/>
        <v>1</v>
      </c>
      <c r="AO3" s="21">
        <f t="shared" si="3"/>
        <v>0</v>
      </c>
      <c r="AP3" s="21">
        <f t="shared" si="3"/>
        <v>0</v>
      </c>
      <c r="AQ3" s="21">
        <f t="shared" si="3"/>
        <v>1</v>
      </c>
      <c r="AR3" s="21" t="str">
        <f t="shared" si="3"/>
        <v>.</v>
      </c>
      <c r="AS3" s="21">
        <f t="shared" si="3"/>
        <v>0</v>
      </c>
      <c r="AT3" s="21">
        <f t="shared" si="3"/>
        <v>0</v>
      </c>
      <c r="AU3" s="21">
        <f t="shared" ref="AU3:AV4" si="4">X4</f>
        <v>1</v>
      </c>
      <c r="AV3" s="21">
        <f t="shared" si="4"/>
        <v>0</v>
      </c>
      <c r="AW3" s="2"/>
      <c r="AX3" s="2"/>
      <c r="AY3" s="2"/>
      <c r="AZ3" s="2"/>
      <c r="BA3" s="21"/>
      <c r="BB3" s="21" t="s">
        <v>58</v>
      </c>
      <c r="BC3" s="3">
        <f>C4</f>
        <v>658</v>
      </c>
      <c r="BD3" s="9"/>
      <c r="BE3" s="35" t="str">
        <f>IF(AD6=0,"слагаемых получено положительное число.","слагаемых получено отрицательное число.")</f>
        <v>слагаемых получено положительное число.</v>
      </c>
      <c r="BK3" s="2"/>
    </row>
    <row r="4" spans="1:63" x14ac:dyDescent="0.25">
      <c r="A4" s="41" t="s">
        <v>2</v>
      </c>
      <c r="B4" s="42" t="s">
        <v>0</v>
      </c>
      <c r="C4" s="7">
        <f>C1</f>
        <v>658</v>
      </c>
      <c r="D4" s="2"/>
      <c r="E4" s="39" t="s">
        <v>3</v>
      </c>
      <c r="F4" s="7"/>
      <c r="G4" s="5">
        <f>MOD(ROUNDDOWN($C4/POWER(2, G$3),0),2)</f>
        <v>0</v>
      </c>
      <c r="H4">
        <f t="shared" ref="H4:J9" si="5">MOD(ROUNDDOWN($C4/POWER(2, H$3),0),2)</f>
        <v>0</v>
      </c>
      <c r="I4">
        <f t="shared" si="5"/>
        <v>0</v>
      </c>
      <c r="J4">
        <f t="shared" si="5"/>
        <v>0</v>
      </c>
      <c r="K4" s="13" t="s">
        <v>47</v>
      </c>
      <c r="L4">
        <f>MOD(ROUNDDOWN($C4/POWER(2, L$3),0),2)</f>
        <v>0</v>
      </c>
      <c r="M4">
        <f>MOD(ROUNDDOWN($C4/POWER(2, M$3),0),2)</f>
        <v>0</v>
      </c>
      <c r="N4">
        <f t="shared" ref="N4:O9" si="6">MOD(ROUNDDOWN($C4/POWER(2, N$3),0),2)</f>
        <v>1</v>
      </c>
      <c r="O4">
        <f t="shared" si="6"/>
        <v>0</v>
      </c>
      <c r="P4" s="13" t="s">
        <v>47</v>
      </c>
      <c r="Q4">
        <f>MOD(ROUNDDOWN($C4/POWER(2, Q$3),0),2)</f>
        <v>1</v>
      </c>
      <c r="R4">
        <f t="shared" ref="R4:T9" si="7">MOD(ROUNDDOWN($C4/POWER(2, R$3),0),2)</f>
        <v>0</v>
      </c>
      <c r="S4">
        <f t="shared" si="7"/>
        <v>0</v>
      </c>
      <c r="T4">
        <f t="shared" si="7"/>
        <v>1</v>
      </c>
      <c r="U4" s="13" t="s">
        <v>47</v>
      </c>
      <c r="V4">
        <f>MOD(ROUNDDOWN($C4/POWER(2, V$3),0),2)</f>
        <v>0</v>
      </c>
      <c r="W4">
        <f t="shared" ref="W4:Y9" si="8">MOD(ROUNDDOWN($C4/POWER(2, W$3),0),2)</f>
        <v>0</v>
      </c>
      <c r="X4">
        <f t="shared" si="8"/>
        <v>1</v>
      </c>
      <c r="Y4">
        <f t="shared" si="8"/>
        <v>0</v>
      </c>
      <c r="Z4" s="15" t="str">
        <f>IF(AND(C4&lt;32767,C4&gt;-32768),"да","нет")</f>
        <v>да</v>
      </c>
      <c r="AB4" s="23" t="s">
        <v>59</v>
      </c>
      <c r="AC4" s="2" t="s">
        <v>60</v>
      </c>
      <c r="AD4" s="21">
        <f>G5</f>
        <v>0</v>
      </c>
      <c r="AE4" s="21">
        <f t="shared" si="3"/>
        <v>1</v>
      </c>
      <c r="AF4" s="21">
        <f t="shared" si="3"/>
        <v>1</v>
      </c>
      <c r="AG4" s="21">
        <f t="shared" si="3"/>
        <v>0</v>
      </c>
      <c r="AH4" s="21" t="str">
        <f t="shared" si="3"/>
        <v>.</v>
      </c>
      <c r="AI4" s="21">
        <f t="shared" si="3"/>
        <v>1</v>
      </c>
      <c r="AJ4" s="21">
        <f t="shared" si="3"/>
        <v>1</v>
      </c>
      <c r="AK4" s="21">
        <f t="shared" si="3"/>
        <v>1</v>
      </c>
      <c r="AL4" s="21">
        <f t="shared" si="3"/>
        <v>1</v>
      </c>
      <c r="AM4" s="21" t="str">
        <f t="shared" si="3"/>
        <v>.</v>
      </c>
      <c r="AN4" s="21">
        <f t="shared" si="3"/>
        <v>0</v>
      </c>
      <c r="AO4" s="21">
        <f t="shared" si="3"/>
        <v>0</v>
      </c>
      <c r="AP4" s="21">
        <f t="shared" si="3"/>
        <v>0</v>
      </c>
      <c r="AQ4" s="21">
        <f t="shared" si="3"/>
        <v>1</v>
      </c>
      <c r="AR4" s="21" t="str">
        <f t="shared" si="3"/>
        <v>.</v>
      </c>
      <c r="AS4" s="21">
        <f t="shared" si="3"/>
        <v>0</v>
      </c>
      <c r="AT4" s="21">
        <f t="shared" si="3"/>
        <v>0</v>
      </c>
      <c r="AU4" s="21">
        <f t="shared" si="4"/>
        <v>1</v>
      </c>
      <c r="AV4" s="21">
        <f t="shared" si="4"/>
        <v>0</v>
      </c>
      <c r="AW4" s="2"/>
      <c r="AX4" s="2"/>
      <c r="AY4" s="2"/>
      <c r="AZ4" s="2"/>
      <c r="BA4" s="21" t="s">
        <v>59</v>
      </c>
      <c r="BB4" s="21" t="s">
        <v>61</v>
      </c>
      <c r="BC4" s="3">
        <f>C5</f>
        <v>28434</v>
      </c>
      <c r="BD4" s="9"/>
      <c r="BE4" s="36" t="str">
        <f>IF(AX6=BC6,"Результат выполнения операции верный и корректный, совпадает с суммой десятичных эквивалентов.","Результат операции не совпадает с суммой десятичных эквивалентов, так как произошло переполнение.")</f>
        <v>Результат выполнения операции верный и корректный, совпадает с суммой десятичных эквивалентов.</v>
      </c>
      <c r="BK4" s="2"/>
    </row>
    <row r="5" spans="1:63" x14ac:dyDescent="0.25">
      <c r="A5" s="43" t="s">
        <v>4</v>
      </c>
      <c r="B5" s="44" t="s">
        <v>1</v>
      </c>
      <c r="C5" s="9">
        <f>C2</f>
        <v>28434</v>
      </c>
      <c r="D5" s="2"/>
      <c r="E5" s="23" t="s">
        <v>5</v>
      </c>
      <c r="F5" s="9"/>
      <c r="G5" s="8">
        <f t="shared" ref="G5:G9" si="9">MOD(ROUNDDOWN($C5/POWER(2, G$3),0),2)</f>
        <v>0</v>
      </c>
      <c r="H5">
        <f t="shared" si="5"/>
        <v>1</v>
      </c>
      <c r="I5">
        <f t="shared" si="5"/>
        <v>1</v>
      </c>
      <c r="J5">
        <f t="shared" si="5"/>
        <v>0</v>
      </c>
      <c r="K5" s="13" t="s">
        <v>47</v>
      </c>
      <c r="L5">
        <f t="shared" ref="L5:M9" si="10">MOD(ROUNDDOWN($C5/POWER(2, L$3),0),2)</f>
        <v>1</v>
      </c>
      <c r="M5">
        <f t="shared" si="10"/>
        <v>1</v>
      </c>
      <c r="N5">
        <f t="shared" si="6"/>
        <v>1</v>
      </c>
      <c r="O5">
        <f t="shared" si="6"/>
        <v>1</v>
      </c>
      <c r="P5" s="13" t="s">
        <v>47</v>
      </c>
      <c r="Q5">
        <f t="shared" ref="Q5:Q9" si="11">MOD(ROUNDDOWN($C5/POWER(2, Q$3),0),2)</f>
        <v>0</v>
      </c>
      <c r="R5">
        <f t="shared" si="7"/>
        <v>0</v>
      </c>
      <c r="S5">
        <f t="shared" si="7"/>
        <v>0</v>
      </c>
      <c r="T5">
        <f t="shared" si="7"/>
        <v>1</v>
      </c>
      <c r="U5" s="13" t="s">
        <v>47</v>
      </c>
      <c r="V5">
        <f t="shared" ref="V5:V9" si="12">MOD(ROUNDDOWN($C5/POWER(2, V$3),0),2)</f>
        <v>0</v>
      </c>
      <c r="W5">
        <f t="shared" si="8"/>
        <v>0</v>
      </c>
      <c r="X5">
        <f t="shared" si="8"/>
        <v>1</v>
      </c>
      <c r="Y5">
        <f t="shared" si="8"/>
        <v>0</v>
      </c>
      <c r="Z5" s="15" t="str">
        <f t="shared" ref="Z5:Z15" si="13">IF(AND(C5&lt;32767,C5&gt;-32768),"да","нет")</f>
        <v>да</v>
      </c>
      <c r="AB5" s="8"/>
      <c r="AC5" s="2" t="s">
        <v>62</v>
      </c>
      <c r="AD5" s="2" t="s">
        <v>63</v>
      </c>
      <c r="AE5" s="2" t="s">
        <v>63</v>
      </c>
      <c r="AF5" s="2" t="s">
        <v>63</v>
      </c>
      <c r="AG5" s="2" t="s">
        <v>63</v>
      </c>
      <c r="AH5" s="2" t="s">
        <v>63</v>
      </c>
      <c r="AI5" s="2" t="s">
        <v>63</v>
      </c>
      <c r="AJ5" s="2" t="s">
        <v>63</v>
      </c>
      <c r="AK5" s="2" t="s">
        <v>63</v>
      </c>
      <c r="AL5" s="2" t="s">
        <v>63</v>
      </c>
      <c r="AM5" s="2" t="s">
        <v>63</v>
      </c>
      <c r="AN5" s="2" t="s">
        <v>63</v>
      </c>
      <c r="AO5" s="2" t="s">
        <v>63</v>
      </c>
      <c r="AP5" s="2" t="s">
        <v>63</v>
      </c>
      <c r="AQ5" s="2" t="s">
        <v>63</v>
      </c>
      <c r="AR5" s="2" t="s">
        <v>63</v>
      </c>
      <c r="AS5" s="2" t="s">
        <v>63</v>
      </c>
      <c r="AT5" s="2" t="s">
        <v>63</v>
      </c>
      <c r="AU5" s="2" t="s">
        <v>63</v>
      </c>
      <c r="AV5" s="2" t="s">
        <v>63</v>
      </c>
      <c r="AW5" s="2"/>
      <c r="AX5" s="21"/>
      <c r="AY5" s="2"/>
      <c r="AZ5" s="2"/>
      <c r="BA5" s="21" t="s">
        <v>63</v>
      </c>
      <c r="BB5" s="21" t="s">
        <v>64</v>
      </c>
      <c r="BC5" s="21" t="s">
        <v>65</v>
      </c>
      <c r="BD5" s="32"/>
      <c r="BE5" s="27"/>
      <c r="BK5" s="2"/>
    </row>
    <row r="6" spans="1:63" ht="15" customHeight="1" x14ac:dyDescent="0.25">
      <c r="A6" s="43" t="s">
        <v>6</v>
      </c>
      <c r="B6" s="44" t="s">
        <v>7</v>
      </c>
      <c r="C6" s="9">
        <f>C4+C5</f>
        <v>29092</v>
      </c>
      <c r="D6" s="2"/>
      <c r="E6" s="23" t="s">
        <v>8</v>
      </c>
      <c r="F6" s="9"/>
      <c r="G6" s="8">
        <f t="shared" si="9"/>
        <v>0</v>
      </c>
      <c r="H6">
        <f t="shared" si="5"/>
        <v>1</v>
      </c>
      <c r="I6">
        <f t="shared" si="5"/>
        <v>1</v>
      </c>
      <c r="J6">
        <f t="shared" si="5"/>
        <v>1</v>
      </c>
      <c r="K6" s="13" t="s">
        <v>47</v>
      </c>
      <c r="L6">
        <f t="shared" si="10"/>
        <v>0</v>
      </c>
      <c r="M6">
        <f t="shared" si="10"/>
        <v>0</v>
      </c>
      <c r="N6">
        <f>MOD(ROUNDDOWN($C6/POWER(2, N$3),0),2)</f>
        <v>0</v>
      </c>
      <c r="O6">
        <f t="shared" si="6"/>
        <v>1</v>
      </c>
      <c r="P6" s="13" t="s">
        <v>47</v>
      </c>
      <c r="Q6">
        <f t="shared" si="11"/>
        <v>1</v>
      </c>
      <c r="R6">
        <f t="shared" si="7"/>
        <v>0</v>
      </c>
      <c r="S6">
        <f t="shared" si="7"/>
        <v>1</v>
      </c>
      <c r="T6">
        <f t="shared" si="7"/>
        <v>0</v>
      </c>
      <c r="U6" s="13" t="s">
        <v>47</v>
      </c>
      <c r="V6">
        <f t="shared" si="12"/>
        <v>0</v>
      </c>
      <c r="W6">
        <f t="shared" si="8"/>
        <v>1</v>
      </c>
      <c r="X6">
        <f t="shared" si="8"/>
        <v>0</v>
      </c>
      <c r="Y6">
        <f t="shared" si="8"/>
        <v>0</v>
      </c>
      <c r="Z6" s="15" t="str">
        <f t="shared" si="13"/>
        <v>да</v>
      </c>
      <c r="AB6" s="8"/>
      <c r="AC6" s="2"/>
      <c r="AD6" s="2">
        <f t="shared" ref="AD6:AF6" si="14">MOD(AD2+AD3+AD4,2)</f>
        <v>0</v>
      </c>
      <c r="AE6" s="2">
        <f t="shared" si="14"/>
        <v>1</v>
      </c>
      <c r="AF6" s="2">
        <f t="shared" si="14"/>
        <v>1</v>
      </c>
      <c r="AG6" s="2">
        <f>MOD(AG2+AG3+AG4,2)</f>
        <v>1</v>
      </c>
      <c r="AH6" s="2"/>
      <c r="AI6" s="2">
        <f t="shared" ref="AI6:AK6" si="15">MOD(AI2+AI3+AI4,2)</f>
        <v>0</v>
      </c>
      <c r="AJ6" s="2">
        <f t="shared" si="15"/>
        <v>0</v>
      </c>
      <c r="AK6" s="2">
        <f t="shared" si="15"/>
        <v>0</v>
      </c>
      <c r="AL6" s="2">
        <f>MOD(AL2+AL3+AL4,2)</f>
        <v>1</v>
      </c>
      <c r="AM6" s="2"/>
      <c r="AN6" s="2">
        <f t="shared" ref="AN6:AP6" si="16">MOD(AN2+AN3+AN4,2)</f>
        <v>1</v>
      </c>
      <c r="AO6" s="2">
        <f t="shared" si="16"/>
        <v>0</v>
      </c>
      <c r="AP6" s="2">
        <f t="shared" si="16"/>
        <v>1</v>
      </c>
      <c r="AQ6" s="2">
        <f>MOD(AQ2+AQ3+AQ4,2)</f>
        <v>0</v>
      </c>
      <c r="AR6" s="2"/>
      <c r="AS6" s="2">
        <f>MOD(AS2+AS3+AS4,2)</f>
        <v>0</v>
      </c>
      <c r="AT6" s="2">
        <f t="shared" ref="AT6:AU6" si="17">MOD(AT2+AT3+AT4,2)</f>
        <v>1</v>
      </c>
      <c r="AU6" s="2">
        <f t="shared" si="17"/>
        <v>0</v>
      </c>
      <c r="AV6" s="2">
        <f>MOD(AV3+AV4,2)</f>
        <v>0</v>
      </c>
      <c r="AW6" s="24" t="s">
        <v>66</v>
      </c>
      <c r="AX6" s="21">
        <f>IF(AD6=1,-(32768-(AV6+2*AU6+4*AT6+8*AS6+16*AQ6+32*AP6+64*AO6+128*AN6+256*AL6+512*AK6+1024*AJ6+2048*AI6+4096*AG6+8192*AF6+16384*AE6)),AV6+2*AU6+4*AT6+8*AS6+16*AQ6+32*AP6+64*AO6+128*AN6+256*AL6+512*AK6+1024*AJ6+2048*AI6+4096*AG6+8192*AF6+16384*AE6)</f>
        <v>29092</v>
      </c>
      <c r="AY6" s="2" t="s">
        <v>67</v>
      </c>
      <c r="AZ6" s="2"/>
      <c r="BA6" s="21"/>
      <c r="BB6" s="21"/>
      <c r="BC6" s="3">
        <f>BC3+BC4</f>
        <v>29092</v>
      </c>
      <c r="BD6" s="9" t="s">
        <v>67</v>
      </c>
      <c r="BE6" s="33"/>
      <c r="BK6" s="2"/>
    </row>
    <row r="7" spans="1:63" x14ac:dyDescent="0.25">
      <c r="A7" s="43" t="s">
        <v>9</v>
      </c>
      <c r="B7" s="44" t="s">
        <v>10</v>
      </c>
      <c r="C7" s="9">
        <f>C4+C5+C5</f>
        <v>57526</v>
      </c>
      <c r="D7" s="2"/>
      <c r="E7" s="23" t="s">
        <v>11</v>
      </c>
      <c r="F7" s="9"/>
      <c r="G7" s="8">
        <f t="shared" si="9"/>
        <v>1</v>
      </c>
      <c r="H7">
        <f t="shared" si="5"/>
        <v>1</v>
      </c>
      <c r="I7">
        <f t="shared" si="5"/>
        <v>1</v>
      </c>
      <c r="J7">
        <f t="shared" si="5"/>
        <v>0</v>
      </c>
      <c r="K7" s="13" t="s">
        <v>47</v>
      </c>
      <c r="L7">
        <f t="shared" si="10"/>
        <v>0</v>
      </c>
      <c r="M7">
        <f t="shared" si="10"/>
        <v>0</v>
      </c>
      <c r="N7">
        <f t="shared" si="6"/>
        <v>0</v>
      </c>
      <c r="O7">
        <f t="shared" si="6"/>
        <v>0</v>
      </c>
      <c r="P7" s="13" t="s">
        <v>47</v>
      </c>
      <c r="Q7">
        <f t="shared" si="11"/>
        <v>1</v>
      </c>
      <c r="R7">
        <f t="shared" si="7"/>
        <v>0</v>
      </c>
      <c r="S7">
        <f t="shared" si="7"/>
        <v>1</v>
      </c>
      <c r="T7">
        <f t="shared" si="7"/>
        <v>1</v>
      </c>
      <c r="U7" s="13" t="s">
        <v>47</v>
      </c>
      <c r="V7">
        <f t="shared" si="12"/>
        <v>0</v>
      </c>
      <c r="W7">
        <f t="shared" si="8"/>
        <v>1</v>
      </c>
      <c r="X7">
        <f t="shared" si="8"/>
        <v>1</v>
      </c>
      <c r="Y7">
        <f t="shared" si="8"/>
        <v>0</v>
      </c>
      <c r="Z7" s="15" t="str">
        <f t="shared" si="13"/>
        <v>нет</v>
      </c>
      <c r="AB7" s="8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9"/>
      <c r="BE7" s="33"/>
    </row>
    <row r="8" spans="1:63" x14ac:dyDescent="0.25">
      <c r="A8" s="43" t="s">
        <v>12</v>
      </c>
      <c r="B8" s="44" t="s">
        <v>13</v>
      </c>
      <c r="C8" s="9">
        <f>C5-C4</f>
        <v>27776</v>
      </c>
      <c r="D8" s="2"/>
      <c r="E8" s="23" t="s">
        <v>14</v>
      </c>
      <c r="F8" s="9"/>
      <c r="G8" s="8">
        <f t="shared" si="9"/>
        <v>0</v>
      </c>
      <c r="H8">
        <f t="shared" si="5"/>
        <v>1</v>
      </c>
      <c r="I8">
        <f t="shared" si="5"/>
        <v>1</v>
      </c>
      <c r="J8">
        <f t="shared" si="5"/>
        <v>0</v>
      </c>
      <c r="K8" s="13" t="s">
        <v>47</v>
      </c>
      <c r="L8">
        <f t="shared" si="10"/>
        <v>1</v>
      </c>
      <c r="M8">
        <f t="shared" si="10"/>
        <v>1</v>
      </c>
      <c r="N8">
        <f t="shared" si="6"/>
        <v>0</v>
      </c>
      <c r="O8">
        <f t="shared" si="6"/>
        <v>0</v>
      </c>
      <c r="P8" s="13" t="s">
        <v>47</v>
      </c>
      <c r="Q8">
        <f t="shared" si="11"/>
        <v>1</v>
      </c>
      <c r="R8">
        <f t="shared" si="7"/>
        <v>0</v>
      </c>
      <c r="S8">
        <f t="shared" si="7"/>
        <v>0</v>
      </c>
      <c r="T8">
        <f t="shared" si="7"/>
        <v>0</v>
      </c>
      <c r="U8" s="13" t="s">
        <v>47</v>
      </c>
      <c r="V8">
        <f t="shared" si="12"/>
        <v>0</v>
      </c>
      <c r="W8">
        <f t="shared" si="8"/>
        <v>0</v>
      </c>
      <c r="X8">
        <f t="shared" si="8"/>
        <v>0</v>
      </c>
      <c r="Y8">
        <f t="shared" si="8"/>
        <v>0</v>
      </c>
      <c r="Z8" s="15" t="str">
        <f t="shared" si="13"/>
        <v>да</v>
      </c>
      <c r="AB8" s="10"/>
      <c r="AC8" s="11"/>
      <c r="AD8" s="31" t="s">
        <v>68</v>
      </c>
      <c r="AE8" s="31"/>
      <c r="AF8" s="11">
        <f>IF(AD2+AD3+AD4&gt;1,1,0)</f>
        <v>0</v>
      </c>
      <c r="AG8" s="11"/>
      <c r="AH8" s="31" t="s">
        <v>69</v>
      </c>
      <c r="AI8" s="31"/>
      <c r="AJ8" s="11">
        <f>IF(MOD(AN6+AO6+AP6+AQ6+AS6+AT6+AU6+AV6,2)=0,1,0)</f>
        <v>0</v>
      </c>
      <c r="AK8" s="11"/>
      <c r="AL8" s="31" t="s">
        <v>70</v>
      </c>
      <c r="AM8" s="31"/>
      <c r="AN8" s="11">
        <f>AQ2</f>
        <v>0</v>
      </c>
      <c r="AO8" s="11"/>
      <c r="AP8" s="31" t="s">
        <v>71</v>
      </c>
      <c r="AQ8" s="31"/>
      <c r="AR8" s="11">
        <f>IF(AX6=0,1,0)</f>
        <v>0</v>
      </c>
      <c r="AS8" s="11"/>
      <c r="AT8" s="11"/>
      <c r="AU8" s="31" t="s">
        <v>72</v>
      </c>
      <c r="AV8" s="31"/>
      <c r="AW8" s="25">
        <f>AD6</f>
        <v>0</v>
      </c>
      <c r="AX8" s="26" t="s">
        <v>73</v>
      </c>
      <c r="AY8" s="25">
        <f>IF(AND(AD3=AD4, AD4&lt;&gt;AD6),1,0)</f>
        <v>0</v>
      </c>
      <c r="AZ8" s="11"/>
      <c r="BA8" s="11"/>
      <c r="BB8" s="11"/>
      <c r="BC8" s="11"/>
      <c r="BD8" s="12"/>
      <c r="BE8" s="33"/>
    </row>
    <row r="9" spans="1:63" x14ac:dyDescent="0.25">
      <c r="A9" s="43" t="s">
        <v>15</v>
      </c>
      <c r="B9" s="44" t="s">
        <v>16</v>
      </c>
      <c r="C9" s="9">
        <f>65536-C7</f>
        <v>8010</v>
      </c>
      <c r="D9" s="2"/>
      <c r="E9" s="23" t="s">
        <v>17</v>
      </c>
      <c r="F9" s="9"/>
      <c r="G9" s="8">
        <f t="shared" si="9"/>
        <v>0</v>
      </c>
      <c r="H9">
        <f t="shared" si="5"/>
        <v>0</v>
      </c>
      <c r="I9">
        <f t="shared" si="5"/>
        <v>0</v>
      </c>
      <c r="J9">
        <f t="shared" si="5"/>
        <v>1</v>
      </c>
      <c r="K9" s="13" t="s">
        <v>47</v>
      </c>
      <c r="L9">
        <f t="shared" si="10"/>
        <v>1</v>
      </c>
      <c r="M9">
        <f t="shared" si="10"/>
        <v>1</v>
      </c>
      <c r="N9">
        <f t="shared" si="6"/>
        <v>1</v>
      </c>
      <c r="O9">
        <f t="shared" si="6"/>
        <v>1</v>
      </c>
      <c r="P9" s="13" t="s">
        <v>47</v>
      </c>
      <c r="Q9">
        <f t="shared" si="11"/>
        <v>0</v>
      </c>
      <c r="R9">
        <f t="shared" si="7"/>
        <v>1</v>
      </c>
      <c r="S9">
        <f t="shared" si="7"/>
        <v>0</v>
      </c>
      <c r="T9">
        <f t="shared" si="7"/>
        <v>0</v>
      </c>
      <c r="U9" s="13" t="s">
        <v>47</v>
      </c>
      <c r="V9">
        <f t="shared" si="12"/>
        <v>1</v>
      </c>
      <c r="W9">
        <f t="shared" si="8"/>
        <v>0</v>
      </c>
      <c r="X9">
        <f t="shared" si="8"/>
        <v>1</v>
      </c>
      <c r="Y9">
        <f t="shared" si="8"/>
        <v>0</v>
      </c>
      <c r="Z9" s="15" t="str">
        <f t="shared" si="13"/>
        <v>да</v>
      </c>
      <c r="BE9" s="33"/>
    </row>
    <row r="10" spans="1:63" x14ac:dyDescent="0.25">
      <c r="A10" s="43" t="s">
        <v>18</v>
      </c>
      <c r="B10" s="45" t="s">
        <v>19</v>
      </c>
      <c r="C10" s="9">
        <f>-C4</f>
        <v>-658</v>
      </c>
      <c r="D10" s="2"/>
      <c r="E10" s="23" t="s">
        <v>20</v>
      </c>
      <c r="F10" s="48" t="s">
        <v>21</v>
      </c>
      <c r="G10" s="8">
        <f>G21</f>
        <v>1</v>
      </c>
      <c r="H10" s="2">
        <f t="shared" ref="H10:Y10" si="18">H21</f>
        <v>1</v>
      </c>
      <c r="I10" s="2">
        <f t="shared" si="18"/>
        <v>1</v>
      </c>
      <c r="J10" s="2">
        <f t="shared" si="18"/>
        <v>1</v>
      </c>
      <c r="K10" s="13" t="s">
        <v>47</v>
      </c>
      <c r="L10" s="2">
        <f t="shared" si="18"/>
        <v>1</v>
      </c>
      <c r="M10" s="2">
        <f t="shared" si="18"/>
        <v>1</v>
      </c>
      <c r="N10" s="2">
        <f t="shared" si="18"/>
        <v>0</v>
      </c>
      <c r="O10" s="2">
        <f t="shared" si="18"/>
        <v>1</v>
      </c>
      <c r="P10" s="13" t="s">
        <v>47</v>
      </c>
      <c r="Q10" s="2">
        <f t="shared" si="18"/>
        <v>0</v>
      </c>
      <c r="R10" s="2">
        <f t="shared" si="18"/>
        <v>1</v>
      </c>
      <c r="S10" s="2">
        <f t="shared" si="18"/>
        <v>1</v>
      </c>
      <c r="T10" s="2">
        <f t="shared" si="18"/>
        <v>0</v>
      </c>
      <c r="U10" s="13" t="s">
        <v>47</v>
      </c>
      <c r="V10" s="2">
        <f t="shared" si="18"/>
        <v>1</v>
      </c>
      <c r="W10" s="2">
        <f t="shared" si="18"/>
        <v>1</v>
      </c>
      <c r="X10" s="2">
        <f t="shared" si="18"/>
        <v>1</v>
      </c>
      <c r="Y10" s="9">
        <f t="shared" si="18"/>
        <v>0</v>
      </c>
      <c r="Z10" s="15" t="str">
        <f t="shared" si="13"/>
        <v>да</v>
      </c>
      <c r="AB10" s="5"/>
      <c r="AC10" s="6" t="s">
        <v>48</v>
      </c>
      <c r="AD10" s="22">
        <f t="shared" ref="AD10:AE10" si="19">IF(OR(AE10+AE11+AE12=3,AE10+AE11+AE12=2),1,0)</f>
        <v>1</v>
      </c>
      <c r="AE10" s="22">
        <f t="shared" si="19"/>
        <v>1</v>
      </c>
      <c r="AF10" s="22">
        <f>IF(OR(AG10+AG11+AG12=3,AG10+AG11+AG12=2),1,0)</f>
        <v>1</v>
      </c>
      <c r="AG10" s="22">
        <f>IF(OR(AI10+AI11+AI12=3,AI10+AI11+AI12=2),1,0)</f>
        <v>1</v>
      </c>
      <c r="AH10" s="22"/>
      <c r="AI10" s="22">
        <f t="shared" ref="AI10:AJ10" si="20">IF(OR(AJ10+AJ11+AJ12=3,AJ10+AJ11+AJ12=2),1,0)</f>
        <v>1</v>
      </c>
      <c r="AJ10" s="22">
        <f t="shared" si="20"/>
        <v>1</v>
      </c>
      <c r="AK10" s="22">
        <f>IF(OR(AL10+AL11+AL12=3,AL10+AL11+AL12=2),1,0)</f>
        <v>1</v>
      </c>
      <c r="AL10" s="22">
        <f>IF(OR(AN10+AN11+AN12=3,AN10+AN11+AN12=2),1,0)</f>
        <v>0</v>
      </c>
      <c r="AM10" s="22"/>
      <c r="AN10" s="22">
        <f t="shared" ref="AN10:AO10" si="21">IF(OR(AO10+AO11+AO12=3,AO10+AO11+AO12=2),1,0)</f>
        <v>0</v>
      </c>
      <c r="AO10" s="22">
        <f t="shared" si="21"/>
        <v>0</v>
      </c>
      <c r="AP10" s="22">
        <f>IF(OR(AQ10+AQ11+AQ12=3,AQ10+AQ11+AQ12=2),1,0)</f>
        <v>0</v>
      </c>
      <c r="AQ10" s="22">
        <f>IF(OR(AS10+AS11+AS12=3,AS10+AS11+AS12=2),1,0)</f>
        <v>0</v>
      </c>
      <c r="AR10" s="22"/>
      <c r="AS10" s="22">
        <f>IF(OR(AT10+AT11+AT12=3,AT10+AT11+AT12=2),1,0)</f>
        <v>0</v>
      </c>
      <c r="AT10" s="22">
        <f>IF(OR(AU10+AU11+AU12=3,AU10+AU11+AU12=2),1,0)</f>
        <v>0</v>
      </c>
      <c r="AU10" s="22">
        <f>IF(AV11+AV12=2,1,0)</f>
        <v>0</v>
      </c>
      <c r="AV10" s="22"/>
      <c r="AW10" s="6"/>
      <c r="AX10" s="6"/>
      <c r="AY10" s="6"/>
      <c r="AZ10" s="6"/>
      <c r="BA10" s="6"/>
      <c r="BB10" s="6"/>
      <c r="BC10" s="6"/>
      <c r="BD10" s="7"/>
      <c r="BE10" s="34" t="str">
        <f>IF(AND(AD11=0,AD12=0),"При сложении двух положительных",IF(AND(AD11=1,AD12=1),"При сложении двух отрицательных","При сложении положительного и отрицательного"))</f>
        <v>При сложении двух положительных</v>
      </c>
    </row>
    <row r="11" spans="1:63" x14ac:dyDescent="0.25">
      <c r="A11" s="43" t="s">
        <v>22</v>
      </c>
      <c r="B11" s="45" t="s">
        <v>23</v>
      </c>
      <c r="C11" s="9">
        <f>-C5</f>
        <v>-28434</v>
      </c>
      <c r="D11" s="2"/>
      <c r="E11" s="23" t="s">
        <v>24</v>
      </c>
      <c r="F11" s="48" t="s">
        <v>25</v>
      </c>
      <c r="G11" s="8">
        <f>G26</f>
        <v>1</v>
      </c>
      <c r="H11" s="2">
        <f t="shared" ref="H11:J11" si="22">H26</f>
        <v>0</v>
      </c>
      <c r="I11" s="2">
        <f t="shared" si="22"/>
        <v>0</v>
      </c>
      <c r="J11" s="2">
        <f t="shared" si="22"/>
        <v>1</v>
      </c>
      <c r="K11" s="13" t="s">
        <v>47</v>
      </c>
      <c r="L11" s="2">
        <f>L26</f>
        <v>0</v>
      </c>
      <c r="M11" s="2">
        <f t="shared" ref="M11:O11" si="23">M26</f>
        <v>0</v>
      </c>
      <c r="N11" s="2">
        <f t="shared" si="23"/>
        <v>0</v>
      </c>
      <c r="O11" s="2">
        <f t="shared" si="23"/>
        <v>0</v>
      </c>
      <c r="P11" s="13" t="s">
        <v>47</v>
      </c>
      <c r="Q11" s="2">
        <f>Q26</f>
        <v>1</v>
      </c>
      <c r="R11" s="2">
        <f t="shared" ref="R11:T11" si="24">R26</f>
        <v>1</v>
      </c>
      <c r="S11" s="2">
        <f t="shared" si="24"/>
        <v>1</v>
      </c>
      <c r="T11" s="2">
        <f t="shared" si="24"/>
        <v>0</v>
      </c>
      <c r="U11" s="13" t="s">
        <v>47</v>
      </c>
      <c r="V11" s="2">
        <f>V26</f>
        <v>1</v>
      </c>
      <c r="W11" s="2">
        <f t="shared" ref="W11:Y11" si="25">W26</f>
        <v>1</v>
      </c>
      <c r="X11" s="2">
        <f t="shared" si="25"/>
        <v>1</v>
      </c>
      <c r="Y11" s="9">
        <f t="shared" si="25"/>
        <v>0</v>
      </c>
      <c r="Z11" s="15" t="str">
        <f t="shared" si="13"/>
        <v>да</v>
      </c>
      <c r="AB11" s="8"/>
      <c r="AC11" s="2" t="s">
        <v>74</v>
      </c>
      <c r="AD11" s="21">
        <f>G5</f>
        <v>0</v>
      </c>
      <c r="AE11" s="21">
        <f t="shared" ref="AE11:AV12" si="26">H5</f>
        <v>1</v>
      </c>
      <c r="AF11" s="21">
        <f t="shared" si="26"/>
        <v>1</v>
      </c>
      <c r="AG11" s="21">
        <f t="shared" si="26"/>
        <v>0</v>
      </c>
      <c r="AH11" s="21" t="str">
        <f t="shared" si="26"/>
        <v>.</v>
      </c>
      <c r="AI11" s="21">
        <f t="shared" si="26"/>
        <v>1</v>
      </c>
      <c r="AJ11" s="21">
        <f t="shared" si="26"/>
        <v>1</v>
      </c>
      <c r="AK11" s="21">
        <f t="shared" si="26"/>
        <v>1</v>
      </c>
      <c r="AL11" s="21">
        <f t="shared" si="26"/>
        <v>1</v>
      </c>
      <c r="AM11" s="21" t="str">
        <f t="shared" si="26"/>
        <v>.</v>
      </c>
      <c r="AN11" s="21">
        <f t="shared" si="26"/>
        <v>0</v>
      </c>
      <c r="AO11" s="21">
        <f t="shared" si="26"/>
        <v>0</v>
      </c>
      <c r="AP11" s="21">
        <f t="shared" si="26"/>
        <v>0</v>
      </c>
      <c r="AQ11" s="21">
        <f t="shared" si="26"/>
        <v>1</v>
      </c>
      <c r="AR11" s="21" t="str">
        <f t="shared" si="26"/>
        <v>.</v>
      </c>
      <c r="AS11" s="21">
        <f t="shared" si="26"/>
        <v>0</v>
      </c>
      <c r="AT11" s="21">
        <f t="shared" si="26"/>
        <v>0</v>
      </c>
      <c r="AU11" s="21">
        <f t="shared" si="26"/>
        <v>1</v>
      </c>
      <c r="AV11" s="21">
        <f t="shared" si="26"/>
        <v>0</v>
      </c>
      <c r="AW11" s="2"/>
      <c r="AX11" s="2"/>
      <c r="AY11" s="2"/>
      <c r="AZ11" s="2"/>
      <c r="BA11" s="21"/>
      <c r="BB11" s="21" t="s">
        <v>75</v>
      </c>
      <c r="BC11" s="3">
        <f>C5</f>
        <v>28434</v>
      </c>
      <c r="BD11" s="9"/>
      <c r="BE11" s="35" t="str">
        <f>IF(AD14=0,"слагаемых получено положительное число.","слагаемых получено отрицательное число.")</f>
        <v>слагаемых получено отрицательное число.</v>
      </c>
    </row>
    <row r="12" spans="1:63" x14ac:dyDescent="0.25">
      <c r="A12" s="43" t="s">
        <v>26</v>
      </c>
      <c r="B12" s="45" t="s">
        <v>27</v>
      </c>
      <c r="C12" s="9">
        <f t="shared" ref="C12:C15" si="27">-C6</f>
        <v>-29092</v>
      </c>
      <c r="D12" s="2"/>
      <c r="E12" s="23" t="s">
        <v>28</v>
      </c>
      <c r="F12" s="48" t="s">
        <v>29</v>
      </c>
      <c r="G12" s="8">
        <f>G31</f>
        <v>1</v>
      </c>
      <c r="H12" s="2">
        <f t="shared" ref="H12:J12" si="28">H31</f>
        <v>0</v>
      </c>
      <c r="I12" s="2">
        <f t="shared" si="28"/>
        <v>0</v>
      </c>
      <c r="J12" s="2">
        <f t="shared" si="28"/>
        <v>0</v>
      </c>
      <c r="K12" s="13" t="s">
        <v>47</v>
      </c>
      <c r="L12" s="2">
        <f>L31</f>
        <v>1</v>
      </c>
      <c r="M12" s="2">
        <f t="shared" ref="M12:O12" si="29">M31</f>
        <v>1</v>
      </c>
      <c r="N12" s="2">
        <f t="shared" si="29"/>
        <v>1</v>
      </c>
      <c r="O12" s="2">
        <f t="shared" si="29"/>
        <v>0</v>
      </c>
      <c r="P12" s="13" t="s">
        <v>47</v>
      </c>
      <c r="Q12" s="2">
        <f>Q31</f>
        <v>0</v>
      </c>
      <c r="R12" s="2">
        <f t="shared" ref="R12:T12" si="30">R31</f>
        <v>1</v>
      </c>
      <c r="S12" s="2">
        <f t="shared" si="30"/>
        <v>0</v>
      </c>
      <c r="T12" s="2">
        <f t="shared" si="30"/>
        <v>1</v>
      </c>
      <c r="U12" s="13" t="s">
        <v>47</v>
      </c>
      <c r="V12" s="2">
        <f>V31</f>
        <v>1</v>
      </c>
      <c r="W12" s="2">
        <f t="shared" ref="W12:Y12" si="31">W31</f>
        <v>1</v>
      </c>
      <c r="X12" s="2">
        <f t="shared" si="31"/>
        <v>0</v>
      </c>
      <c r="Y12" s="9">
        <f t="shared" si="31"/>
        <v>0</v>
      </c>
      <c r="Z12" s="15" t="str">
        <f t="shared" si="13"/>
        <v>да</v>
      </c>
      <c r="AB12" s="23" t="s">
        <v>59</v>
      </c>
      <c r="AC12" s="2" t="s">
        <v>76</v>
      </c>
      <c r="AD12" s="21">
        <f>G6</f>
        <v>0</v>
      </c>
      <c r="AE12" s="21">
        <f t="shared" si="26"/>
        <v>1</v>
      </c>
      <c r="AF12" s="21">
        <f t="shared" si="26"/>
        <v>1</v>
      </c>
      <c r="AG12" s="21">
        <f t="shared" si="26"/>
        <v>1</v>
      </c>
      <c r="AH12" s="21" t="str">
        <f t="shared" si="26"/>
        <v>.</v>
      </c>
      <c r="AI12" s="21">
        <f t="shared" si="26"/>
        <v>0</v>
      </c>
      <c r="AJ12" s="21">
        <f t="shared" si="26"/>
        <v>0</v>
      </c>
      <c r="AK12" s="21">
        <f t="shared" si="26"/>
        <v>0</v>
      </c>
      <c r="AL12" s="21">
        <f t="shared" si="26"/>
        <v>1</v>
      </c>
      <c r="AM12" s="21" t="str">
        <f t="shared" si="26"/>
        <v>.</v>
      </c>
      <c r="AN12" s="21">
        <f t="shared" si="26"/>
        <v>1</v>
      </c>
      <c r="AO12" s="21">
        <f t="shared" si="26"/>
        <v>0</v>
      </c>
      <c r="AP12" s="21">
        <f t="shared" si="26"/>
        <v>1</v>
      </c>
      <c r="AQ12" s="21">
        <f t="shared" si="26"/>
        <v>0</v>
      </c>
      <c r="AR12" s="21" t="str">
        <f t="shared" si="26"/>
        <v>.</v>
      </c>
      <c r="AS12" s="21">
        <f t="shared" si="26"/>
        <v>0</v>
      </c>
      <c r="AT12" s="21">
        <f t="shared" si="26"/>
        <v>1</v>
      </c>
      <c r="AU12" s="21">
        <f t="shared" si="26"/>
        <v>0</v>
      </c>
      <c r="AV12" s="21">
        <f t="shared" si="26"/>
        <v>0</v>
      </c>
      <c r="AW12" s="2"/>
      <c r="AX12" s="2"/>
      <c r="AY12" s="2"/>
      <c r="AZ12" s="2"/>
      <c r="BA12" s="21" t="s">
        <v>59</v>
      </c>
      <c r="BB12" s="21" t="s">
        <v>77</v>
      </c>
      <c r="BC12" s="3">
        <f>C6</f>
        <v>29092</v>
      </c>
      <c r="BD12" s="9"/>
      <c r="BE12" s="36" t="str">
        <f>IF(AX14=BC14,"Результат выполнения операции верный и корректный, совпадает с суммой десятичных эквивалентов.","Результат операции не совпадает с суммой десятичных эквивалентов, так как произошло переполнение.")</f>
        <v>Результат операции не совпадает с суммой десятичных эквивалентов, так как произошло переполнение.</v>
      </c>
    </row>
    <row r="13" spans="1:63" x14ac:dyDescent="0.25">
      <c r="A13" s="43" t="s">
        <v>30</v>
      </c>
      <c r="B13" s="45" t="s">
        <v>31</v>
      </c>
      <c r="C13" s="9">
        <f t="shared" si="27"/>
        <v>-57526</v>
      </c>
      <c r="D13" s="2"/>
      <c r="E13" s="23" t="s">
        <v>32</v>
      </c>
      <c r="F13" s="48" t="s">
        <v>33</v>
      </c>
      <c r="G13" s="8">
        <f>G36</f>
        <v>0</v>
      </c>
      <c r="H13" s="2">
        <f t="shared" ref="H13:J13" si="32">H36</f>
        <v>0</v>
      </c>
      <c r="I13" s="2">
        <f t="shared" si="32"/>
        <v>0</v>
      </c>
      <c r="J13" s="2">
        <f t="shared" si="32"/>
        <v>1</v>
      </c>
      <c r="K13" s="13" t="s">
        <v>47</v>
      </c>
      <c r="L13" s="2">
        <f>L36</f>
        <v>1</v>
      </c>
      <c r="M13" s="2">
        <f t="shared" ref="M13:O13" si="33">M36</f>
        <v>1</v>
      </c>
      <c r="N13" s="2">
        <f t="shared" si="33"/>
        <v>1</v>
      </c>
      <c r="O13" s="2">
        <f t="shared" si="33"/>
        <v>1</v>
      </c>
      <c r="P13" s="13" t="s">
        <v>47</v>
      </c>
      <c r="Q13" s="2">
        <f>Q36</f>
        <v>0</v>
      </c>
      <c r="R13" s="2">
        <f t="shared" ref="R13:T13" si="34">R36</f>
        <v>1</v>
      </c>
      <c r="S13" s="2">
        <f t="shared" si="34"/>
        <v>0</v>
      </c>
      <c r="T13" s="2">
        <f t="shared" si="34"/>
        <v>0</v>
      </c>
      <c r="U13" s="13" t="s">
        <v>47</v>
      </c>
      <c r="V13" s="2">
        <f>V36</f>
        <v>1</v>
      </c>
      <c r="W13" s="2">
        <f t="shared" ref="W13:Y13" si="35">W36</f>
        <v>0</v>
      </c>
      <c r="X13" s="2">
        <f t="shared" si="35"/>
        <v>1</v>
      </c>
      <c r="Y13" s="9">
        <f t="shared" si="35"/>
        <v>0</v>
      </c>
      <c r="Z13" s="15" t="str">
        <f t="shared" si="13"/>
        <v>нет</v>
      </c>
      <c r="AB13" s="8"/>
      <c r="AC13" s="2" t="s">
        <v>62</v>
      </c>
      <c r="AD13" s="2" t="s">
        <v>63</v>
      </c>
      <c r="AE13" s="2" t="s">
        <v>63</v>
      </c>
      <c r="AF13" s="2" t="s">
        <v>63</v>
      </c>
      <c r="AG13" s="2" t="s">
        <v>63</v>
      </c>
      <c r="AH13" s="2" t="s">
        <v>63</v>
      </c>
      <c r="AI13" s="2" t="s">
        <v>63</v>
      </c>
      <c r="AJ13" s="2" t="s">
        <v>63</v>
      </c>
      <c r="AK13" s="2" t="s">
        <v>63</v>
      </c>
      <c r="AL13" s="2" t="s">
        <v>63</v>
      </c>
      <c r="AM13" s="2" t="s">
        <v>63</v>
      </c>
      <c r="AN13" s="2" t="s">
        <v>63</v>
      </c>
      <c r="AO13" s="2" t="s">
        <v>63</v>
      </c>
      <c r="AP13" s="2" t="s">
        <v>63</v>
      </c>
      <c r="AQ13" s="2" t="s">
        <v>63</v>
      </c>
      <c r="AR13" s="2" t="s">
        <v>63</v>
      </c>
      <c r="AS13" s="2" t="s">
        <v>63</v>
      </c>
      <c r="AT13" s="2" t="s">
        <v>63</v>
      </c>
      <c r="AU13" s="2" t="s">
        <v>63</v>
      </c>
      <c r="AV13" s="2" t="s">
        <v>63</v>
      </c>
      <c r="AW13" s="2"/>
      <c r="AX13" s="21"/>
      <c r="AY13" s="2"/>
      <c r="AZ13" s="2"/>
      <c r="BA13" s="21" t="s">
        <v>63</v>
      </c>
      <c r="BB13" s="21" t="s">
        <v>64</v>
      </c>
      <c r="BC13" s="21" t="s">
        <v>65</v>
      </c>
      <c r="BD13" s="9"/>
      <c r="BE13" s="33"/>
    </row>
    <row r="14" spans="1:63" x14ac:dyDescent="0.25">
      <c r="A14" s="43" t="s">
        <v>34</v>
      </c>
      <c r="B14" s="45" t="s">
        <v>35</v>
      </c>
      <c r="C14" s="9">
        <f t="shared" si="27"/>
        <v>-27776</v>
      </c>
      <c r="D14" s="2"/>
      <c r="E14" s="23" t="s">
        <v>36</v>
      </c>
      <c r="F14" s="48" t="s">
        <v>37</v>
      </c>
      <c r="G14" s="8">
        <f>G41</f>
        <v>1</v>
      </c>
      <c r="H14" s="2">
        <f t="shared" ref="H14:J14" si="36">H41</f>
        <v>0</v>
      </c>
      <c r="I14" s="2">
        <f t="shared" si="36"/>
        <v>0</v>
      </c>
      <c r="J14" s="2">
        <f t="shared" si="36"/>
        <v>1</v>
      </c>
      <c r="K14" s="13" t="s">
        <v>47</v>
      </c>
      <c r="L14" s="2">
        <f>L41</f>
        <v>0</v>
      </c>
      <c r="M14" s="2">
        <f t="shared" ref="M14:O14" si="37">M41</f>
        <v>0</v>
      </c>
      <c r="N14" s="2">
        <f t="shared" si="37"/>
        <v>1</v>
      </c>
      <c r="O14" s="2">
        <f t="shared" si="37"/>
        <v>1</v>
      </c>
      <c r="P14" s="13" t="s">
        <v>47</v>
      </c>
      <c r="Q14" s="2">
        <f>Q41</f>
        <v>1</v>
      </c>
      <c r="R14" s="2">
        <f t="shared" ref="R14:T14" si="38">R41</f>
        <v>0</v>
      </c>
      <c r="S14" s="2">
        <f t="shared" si="38"/>
        <v>0</v>
      </c>
      <c r="T14" s="2">
        <f t="shared" si="38"/>
        <v>0</v>
      </c>
      <c r="U14" s="13" t="s">
        <v>47</v>
      </c>
      <c r="V14" s="2">
        <f>V41</f>
        <v>0</v>
      </c>
      <c r="W14" s="2">
        <f t="shared" ref="W14:Y14" si="39">W41</f>
        <v>0</v>
      </c>
      <c r="X14" s="2">
        <f t="shared" si="39"/>
        <v>0</v>
      </c>
      <c r="Y14" s="9">
        <f t="shared" si="39"/>
        <v>0</v>
      </c>
      <c r="Z14" s="15" t="str">
        <f t="shared" si="13"/>
        <v>да</v>
      </c>
      <c r="AB14" s="8"/>
      <c r="AC14" s="2"/>
      <c r="AD14" s="2">
        <f t="shared" ref="AD14:AF14" si="40">MOD(AD10+AD11+AD12,2)</f>
        <v>1</v>
      </c>
      <c r="AE14" s="2">
        <f t="shared" si="40"/>
        <v>1</v>
      </c>
      <c r="AF14" s="2">
        <f t="shared" si="40"/>
        <v>1</v>
      </c>
      <c r="AG14" s="2">
        <f>MOD(AG10+AG11+AG12,2)</f>
        <v>0</v>
      </c>
      <c r="AH14" s="2"/>
      <c r="AI14" s="2">
        <f t="shared" ref="AI14:AK14" si="41">MOD(AI10+AI11+AI12,2)</f>
        <v>0</v>
      </c>
      <c r="AJ14" s="2">
        <f t="shared" si="41"/>
        <v>0</v>
      </c>
      <c r="AK14" s="2">
        <f t="shared" si="41"/>
        <v>0</v>
      </c>
      <c r="AL14" s="2">
        <f>MOD(AL10+AL11+AL12,2)</f>
        <v>0</v>
      </c>
      <c r="AM14" s="2"/>
      <c r="AN14" s="2">
        <f t="shared" ref="AN14:AP14" si="42">MOD(AN10+AN11+AN12,2)</f>
        <v>1</v>
      </c>
      <c r="AO14" s="2">
        <f t="shared" si="42"/>
        <v>0</v>
      </c>
      <c r="AP14" s="2">
        <f t="shared" si="42"/>
        <v>1</v>
      </c>
      <c r="AQ14" s="2">
        <f>MOD(AQ10+AQ11+AQ12,2)</f>
        <v>1</v>
      </c>
      <c r="AR14" s="2"/>
      <c r="AS14" s="2">
        <f>MOD(AS10+AS11+AS12,2)</f>
        <v>0</v>
      </c>
      <c r="AT14" s="2">
        <f t="shared" ref="AT14:AU14" si="43">MOD(AT10+AT11+AT12,2)</f>
        <v>1</v>
      </c>
      <c r="AU14" s="2">
        <f t="shared" si="43"/>
        <v>1</v>
      </c>
      <c r="AV14" s="2">
        <f>MOD(AV11+AV12,2)</f>
        <v>0</v>
      </c>
      <c r="AW14" s="24" t="s">
        <v>66</v>
      </c>
      <c r="AX14" s="21">
        <f>IF(AD14=1,-(32768-(AV14+2*AU14+4*AT14+8*AS14+16*AQ14+32*AP14+64*AO14+128*AN14+256*AL14+512*AK14+1024*AJ14+2048*AI14+4096*AG14+8192*AF14+16384*AE14)),AV14+2*AU14+4*AT14+8*AS14+16*AQ14+32*AP14+64*AO14+128*AN14+256*AL14+512*AK14+1024*AJ14+2048*AI14+4096*AG14+8192*AF14+16384*AE14)</f>
        <v>-8010</v>
      </c>
      <c r="AY14" s="2" t="s">
        <v>67</v>
      </c>
      <c r="AZ14" s="2"/>
      <c r="BA14" s="21"/>
      <c r="BB14" s="21"/>
      <c r="BC14" s="3">
        <f>BC11+BC12</f>
        <v>57526</v>
      </c>
      <c r="BD14" s="9" t="s">
        <v>67</v>
      </c>
      <c r="BE14" s="33"/>
    </row>
    <row r="15" spans="1:63" x14ac:dyDescent="0.25">
      <c r="A15" s="46" t="s">
        <v>38</v>
      </c>
      <c r="B15" s="47" t="s">
        <v>39</v>
      </c>
      <c r="C15" s="12">
        <f t="shared" si="27"/>
        <v>-8010</v>
      </c>
      <c r="D15" s="2"/>
      <c r="E15" s="40" t="s">
        <v>40</v>
      </c>
      <c r="F15" s="49" t="s">
        <v>41</v>
      </c>
      <c r="G15" s="10">
        <f>G46</f>
        <v>1</v>
      </c>
      <c r="H15" s="11">
        <f t="shared" ref="H15:J15" si="44">H46</f>
        <v>1</v>
      </c>
      <c r="I15" s="11">
        <f t="shared" si="44"/>
        <v>1</v>
      </c>
      <c r="J15" s="11">
        <f t="shared" si="44"/>
        <v>0</v>
      </c>
      <c r="K15" s="14" t="s">
        <v>47</v>
      </c>
      <c r="L15" s="11">
        <f>L46</f>
        <v>0</v>
      </c>
      <c r="M15" s="11">
        <f t="shared" ref="M15:O15" si="45">M46</f>
        <v>0</v>
      </c>
      <c r="N15" s="11">
        <f t="shared" si="45"/>
        <v>0</v>
      </c>
      <c r="O15" s="11">
        <f t="shared" si="45"/>
        <v>0</v>
      </c>
      <c r="P15" s="14" t="s">
        <v>47</v>
      </c>
      <c r="Q15" s="11">
        <f>Q46</f>
        <v>1</v>
      </c>
      <c r="R15" s="11">
        <f t="shared" ref="R15:T15" si="46">R46</f>
        <v>0</v>
      </c>
      <c r="S15" s="11">
        <f t="shared" si="46"/>
        <v>1</v>
      </c>
      <c r="T15" s="11">
        <f t="shared" si="46"/>
        <v>1</v>
      </c>
      <c r="U15" s="14" t="s">
        <v>47</v>
      </c>
      <c r="V15" s="11">
        <f>V46</f>
        <v>0</v>
      </c>
      <c r="W15" s="11">
        <f t="shared" ref="W15:Y15" si="47">W46</f>
        <v>1</v>
      </c>
      <c r="X15" s="11">
        <f t="shared" si="47"/>
        <v>1</v>
      </c>
      <c r="Y15" s="12">
        <f t="shared" si="47"/>
        <v>0</v>
      </c>
      <c r="Z15" s="15" t="str">
        <f t="shared" si="13"/>
        <v>да</v>
      </c>
      <c r="AB15" s="8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9"/>
      <c r="BE15" s="33"/>
    </row>
    <row r="16" spans="1:63" x14ac:dyDescent="0.25">
      <c r="AB16" s="10"/>
      <c r="AC16" s="11"/>
      <c r="AD16" s="31" t="s">
        <v>68</v>
      </c>
      <c r="AE16" s="31"/>
      <c r="AF16" s="11">
        <f>IF(AD10+AD11+AD12&gt;1,1,0)</f>
        <v>0</v>
      </c>
      <c r="AG16" s="11"/>
      <c r="AH16" s="31" t="s">
        <v>69</v>
      </c>
      <c r="AI16" s="31"/>
      <c r="AJ16" s="11">
        <f>IF(MOD(AN14+AO14+AP14+AQ14+AS14+AT14+AU14+AV14,2)=0,1,0)</f>
        <v>0</v>
      </c>
      <c r="AK16" s="11"/>
      <c r="AL16" s="31" t="s">
        <v>70</v>
      </c>
      <c r="AM16" s="31"/>
      <c r="AN16" s="11">
        <f>AQ10</f>
        <v>0</v>
      </c>
      <c r="AO16" s="11"/>
      <c r="AP16" s="31" t="s">
        <v>71</v>
      </c>
      <c r="AQ16" s="31"/>
      <c r="AR16" s="11">
        <f>IF(AX14=0,1,0)</f>
        <v>0</v>
      </c>
      <c r="AS16" s="11"/>
      <c r="AT16" s="11"/>
      <c r="AU16" s="31" t="s">
        <v>72</v>
      </c>
      <c r="AV16" s="31"/>
      <c r="AW16" s="25">
        <f>AD14</f>
        <v>1</v>
      </c>
      <c r="AX16" s="26" t="s">
        <v>73</v>
      </c>
      <c r="AY16" s="25">
        <f>IF(AND(AD11=AD12, AD12&lt;&gt;AD14),1,0)</f>
        <v>1</v>
      </c>
      <c r="AZ16" s="11"/>
      <c r="BA16" s="11"/>
      <c r="BB16" s="11"/>
      <c r="BC16" s="11"/>
      <c r="BD16" s="12"/>
      <c r="BE16" s="33"/>
    </row>
    <row r="17" spans="1:57" x14ac:dyDescent="0.25">
      <c r="BE17" s="33"/>
    </row>
    <row r="18" spans="1:57" ht="15" customHeight="1" x14ac:dyDescent="0.25">
      <c r="A18" s="18" t="s">
        <v>42</v>
      </c>
      <c r="B18" s="19" t="s">
        <v>43</v>
      </c>
      <c r="C18" s="20" t="s">
        <v>44</v>
      </c>
      <c r="E18" s="30" t="s">
        <v>20</v>
      </c>
      <c r="F18" s="16" t="s">
        <v>48</v>
      </c>
      <c r="G18" s="6">
        <f t="shared" ref="G18:H18" si="48">IF(OR(H18+H19+H20=3,H18+H19+H20=2),1,0)</f>
        <v>0</v>
      </c>
      <c r="H18" s="6">
        <f t="shared" si="48"/>
        <v>0</v>
      </c>
      <c r="I18" s="6">
        <f>IF(OR(J18+J19+J20=3,J18+J19+J20=2),1,0)</f>
        <v>0</v>
      </c>
      <c r="J18" s="6">
        <f>IF(OR(L18+L18+L20=3,L18+L19+L20=2),1,0)</f>
        <v>0</v>
      </c>
      <c r="K18" s="37" t="s">
        <v>47</v>
      </c>
      <c r="L18" s="6">
        <f t="shared" ref="L18:M18" si="49">IF(OR(M18+M19+M20=3,M18+M19+M20=2),1,0)</f>
        <v>0</v>
      </c>
      <c r="M18" s="6">
        <f t="shared" si="49"/>
        <v>0</v>
      </c>
      <c r="N18" s="6">
        <f>IF(OR(O18+O19+O20=3,O18+O19+O20=2),1,0)</f>
        <v>0</v>
      </c>
      <c r="O18" s="6">
        <f>IF(OR(Q18+Q18+Q20=3,Q18+Q19+Q20=2),1,0)</f>
        <v>0</v>
      </c>
      <c r="P18" s="37" t="s">
        <v>47</v>
      </c>
      <c r="Q18" s="6">
        <f t="shared" ref="Q18:R18" si="50">IF(OR(R18+R19+R20=3,R18+R19+R20=2),1,0)</f>
        <v>0</v>
      </c>
      <c r="R18" s="6">
        <f t="shared" si="50"/>
        <v>0</v>
      </c>
      <c r="S18" s="6">
        <f>IF(OR(T18+T19+T20=3,T18+T19+T20=2),1,0)</f>
        <v>0</v>
      </c>
      <c r="T18" s="6">
        <f>IF(OR(V18+V18+V20=3,V18+V19+V20=2),1,0)</f>
        <v>0</v>
      </c>
      <c r="U18" s="37" t="s">
        <v>47</v>
      </c>
      <c r="V18" s="6">
        <f>IF(OR(W18+W19+W20=3,W18+W19+W20=2),1,0)</f>
        <v>0</v>
      </c>
      <c r="W18" s="6">
        <f>IF(OR(X18+X19+X20=3,X18+X19+X20=2),1,0)</f>
        <v>0</v>
      </c>
      <c r="X18" s="6">
        <f>IF(Y19+Y20=2,1,0)</f>
        <v>1</v>
      </c>
      <c r="Y18" s="38" t="s">
        <v>47</v>
      </c>
      <c r="AB18" s="5"/>
      <c r="AC18" s="6" t="s">
        <v>48</v>
      </c>
      <c r="AD18" s="22">
        <f t="shared" ref="AD18:AE18" si="51">IF(OR(AE18+AE19+AE20=3,AE18+AE19+AE20=2),1,0)</f>
        <v>1</v>
      </c>
      <c r="AE18" s="22">
        <f t="shared" si="51"/>
        <v>1</v>
      </c>
      <c r="AF18" s="22">
        <f>IF(OR(AG18+AG19+AG20=3,AG18+AG19+AG20=2),1,0)</f>
        <v>1</v>
      </c>
      <c r="AG18" s="22">
        <f>IF(OR(AI18+AI19+AI20=3,AI18+AI19+AI20=2),1,0)</f>
        <v>1</v>
      </c>
      <c r="AH18" s="22"/>
      <c r="AI18" s="22">
        <f t="shared" ref="AI18:AJ18" si="52">IF(OR(AJ18+AJ19+AJ20=3,AJ18+AJ19+AJ20=2),1,0)</f>
        <v>1</v>
      </c>
      <c r="AJ18" s="22">
        <f t="shared" si="52"/>
        <v>1</v>
      </c>
      <c r="AK18" s="22">
        <f>IF(OR(AL18+AL19+AL20=3,AL18+AL19+AL20=2),1,0)</f>
        <v>1</v>
      </c>
      <c r="AL18" s="22">
        <f>IF(OR(AN18+AN19+AN20=3,AN18+AN19+AN20=2),1,0)</f>
        <v>0</v>
      </c>
      <c r="AM18" s="22"/>
      <c r="AN18" s="22">
        <f t="shared" ref="AN18:AO18" si="53">IF(OR(AO18+AO19+AO20=3,AO18+AO19+AO20=2),1,0)</f>
        <v>1</v>
      </c>
      <c r="AO18" s="22">
        <f t="shared" si="53"/>
        <v>1</v>
      </c>
      <c r="AP18" s="22">
        <f>IF(OR(AQ18+AQ19+AQ20=3,AQ18+AQ19+AQ20=2),1,0)</f>
        <v>1</v>
      </c>
      <c r="AQ18" s="22">
        <f>IF(OR(AS18+AS19+AS20=3,AS18+AS19+AS20=2),1,0)</f>
        <v>1</v>
      </c>
      <c r="AR18" s="22"/>
      <c r="AS18" s="22">
        <f>IF(OR(AT18+AT19+AT20=3,AT18+AT19+AT20=2),1,0)</f>
        <v>1</v>
      </c>
      <c r="AT18" s="22">
        <f>IF(OR(AU18+AU19+AU20=3,AU18+AU19+AU20=2),1,0)</f>
        <v>1</v>
      </c>
      <c r="AU18" s="22">
        <f>IF(AV19+AV20=2,1,0)</f>
        <v>0</v>
      </c>
      <c r="AV18" s="22"/>
      <c r="AW18" s="6"/>
      <c r="AX18" s="6"/>
      <c r="AY18" s="6"/>
      <c r="AZ18" s="6"/>
      <c r="BA18" s="6"/>
      <c r="BB18" s="6"/>
      <c r="BC18" s="6"/>
      <c r="BD18" s="7"/>
      <c r="BE18" s="34" t="str">
        <f>IF(AND(AD19=0,AD20=0),"При сложении двух положительных",IF(AND(AD19=1,AD20=1),"При сложении двух отрицательных","При сложении положительного и отрицательного"))</f>
        <v>При сложении положительного и отрицательного</v>
      </c>
    </row>
    <row r="19" spans="1:57" x14ac:dyDescent="0.25">
      <c r="E19" s="30"/>
      <c r="F19" s="16" t="s">
        <v>49</v>
      </c>
      <c r="G19" s="2">
        <f>IF(G4=1,0,1)</f>
        <v>1</v>
      </c>
      <c r="H19" s="2">
        <f t="shared" ref="H19:O19" si="54">IF(H4=1,0,1)</f>
        <v>1</v>
      </c>
      <c r="I19" s="2">
        <f t="shared" si="54"/>
        <v>1</v>
      </c>
      <c r="J19" s="2">
        <f t="shared" si="54"/>
        <v>1</v>
      </c>
      <c r="K19" s="13" t="s">
        <v>47</v>
      </c>
      <c r="L19" s="2">
        <f t="shared" si="54"/>
        <v>1</v>
      </c>
      <c r="M19" s="2">
        <f t="shared" si="54"/>
        <v>1</v>
      </c>
      <c r="N19" s="2">
        <f t="shared" si="54"/>
        <v>0</v>
      </c>
      <c r="O19" s="2">
        <f t="shared" si="54"/>
        <v>1</v>
      </c>
      <c r="P19" s="13" t="s">
        <v>47</v>
      </c>
      <c r="Q19" s="2">
        <f t="shared" ref="Q19:T19" si="55">IF(Q4=1,0,1)</f>
        <v>0</v>
      </c>
      <c r="R19" s="2">
        <f t="shared" si="55"/>
        <v>1</v>
      </c>
      <c r="S19" s="2">
        <f t="shared" si="55"/>
        <v>1</v>
      </c>
      <c r="T19" s="2">
        <f t="shared" si="55"/>
        <v>0</v>
      </c>
      <c r="U19" s="13" t="s">
        <v>47</v>
      </c>
      <c r="V19" s="2">
        <f t="shared" ref="V19:Y19" si="56">IF(V4=1,0,1)</f>
        <v>1</v>
      </c>
      <c r="W19" s="2">
        <f t="shared" si="56"/>
        <v>1</v>
      </c>
      <c r="X19" s="2">
        <f>IF(X4=1,0,1)</f>
        <v>0</v>
      </c>
      <c r="Y19" s="9">
        <f t="shared" si="56"/>
        <v>1</v>
      </c>
      <c r="AB19" s="8"/>
      <c r="AC19" s="2" t="s">
        <v>74</v>
      </c>
      <c r="AD19" s="21">
        <f>G5</f>
        <v>0</v>
      </c>
      <c r="AE19" s="21">
        <f t="shared" ref="AE19:AV19" si="57">H5</f>
        <v>1</v>
      </c>
      <c r="AF19" s="21">
        <f t="shared" si="57"/>
        <v>1</v>
      </c>
      <c r="AG19" s="21">
        <f t="shared" si="57"/>
        <v>0</v>
      </c>
      <c r="AH19" s="21" t="str">
        <f t="shared" si="57"/>
        <v>.</v>
      </c>
      <c r="AI19" s="21">
        <f t="shared" si="57"/>
        <v>1</v>
      </c>
      <c r="AJ19" s="21">
        <f t="shared" si="57"/>
        <v>1</v>
      </c>
      <c r="AK19" s="21">
        <f t="shared" si="57"/>
        <v>1</v>
      </c>
      <c r="AL19" s="21">
        <f t="shared" si="57"/>
        <v>1</v>
      </c>
      <c r="AM19" s="21" t="str">
        <f t="shared" si="57"/>
        <v>.</v>
      </c>
      <c r="AN19" s="21">
        <f t="shared" si="57"/>
        <v>0</v>
      </c>
      <c r="AO19" s="21">
        <f t="shared" si="57"/>
        <v>0</v>
      </c>
      <c r="AP19" s="21">
        <f t="shared" si="57"/>
        <v>0</v>
      </c>
      <c r="AQ19" s="21">
        <f t="shared" si="57"/>
        <v>1</v>
      </c>
      <c r="AR19" s="21" t="str">
        <f t="shared" si="57"/>
        <v>.</v>
      </c>
      <c r="AS19" s="21">
        <f t="shared" si="57"/>
        <v>0</v>
      </c>
      <c r="AT19" s="21">
        <f t="shared" si="57"/>
        <v>0</v>
      </c>
      <c r="AU19" s="21">
        <f t="shared" si="57"/>
        <v>1</v>
      </c>
      <c r="AV19" s="21">
        <f t="shared" si="57"/>
        <v>0</v>
      </c>
      <c r="AW19" s="2"/>
      <c r="AX19" s="2"/>
      <c r="AY19" s="2"/>
      <c r="AZ19" s="2"/>
      <c r="BA19" s="21"/>
      <c r="BB19" s="21" t="s">
        <v>75</v>
      </c>
      <c r="BC19" s="3">
        <f>C5</f>
        <v>28434</v>
      </c>
      <c r="BD19" s="9"/>
      <c r="BE19" s="35" t="str">
        <f>IF(AD22=0,"слагаемых получено положительное число.","слагаемых получено отрицательное число.")</f>
        <v>слагаемых получено положительное число.</v>
      </c>
    </row>
    <row r="20" spans="1:57" x14ac:dyDescent="0.25">
      <c r="E20" s="30"/>
      <c r="F20" s="16" t="s">
        <v>50</v>
      </c>
      <c r="G20" s="2">
        <v>0</v>
      </c>
      <c r="H20" s="2">
        <v>0</v>
      </c>
      <c r="I20" s="2">
        <v>0</v>
      </c>
      <c r="J20" s="2">
        <v>0</v>
      </c>
      <c r="K20" s="13" t="s">
        <v>47</v>
      </c>
      <c r="L20" s="2">
        <v>0</v>
      </c>
      <c r="M20" s="2">
        <v>0</v>
      </c>
      <c r="N20" s="2">
        <v>0</v>
      </c>
      <c r="O20" s="2">
        <v>0</v>
      </c>
      <c r="P20" s="13" t="s">
        <v>47</v>
      </c>
      <c r="Q20" s="2">
        <v>0</v>
      </c>
      <c r="R20" s="2">
        <v>0</v>
      </c>
      <c r="S20" s="2">
        <v>0</v>
      </c>
      <c r="T20" s="2">
        <v>0</v>
      </c>
      <c r="U20" s="13" t="s">
        <v>47</v>
      </c>
      <c r="V20" s="2">
        <v>0</v>
      </c>
      <c r="W20" s="2">
        <v>0</v>
      </c>
      <c r="X20" s="2">
        <v>0</v>
      </c>
      <c r="Y20" s="9">
        <v>1</v>
      </c>
      <c r="AB20" s="23" t="s">
        <v>59</v>
      </c>
      <c r="AC20" s="2" t="s">
        <v>78</v>
      </c>
      <c r="AD20" s="21">
        <f>G10</f>
        <v>1</v>
      </c>
      <c r="AE20" s="21">
        <f t="shared" ref="AE20:AV20" si="58">H10</f>
        <v>1</v>
      </c>
      <c r="AF20" s="21">
        <f t="shared" si="58"/>
        <v>1</v>
      </c>
      <c r="AG20" s="21">
        <f t="shared" si="58"/>
        <v>1</v>
      </c>
      <c r="AH20" s="21" t="str">
        <f t="shared" si="58"/>
        <v>.</v>
      </c>
      <c r="AI20" s="21">
        <f t="shared" si="58"/>
        <v>1</v>
      </c>
      <c r="AJ20" s="21">
        <f t="shared" si="58"/>
        <v>1</v>
      </c>
      <c r="AK20" s="21">
        <f t="shared" si="58"/>
        <v>0</v>
      </c>
      <c r="AL20" s="21">
        <f t="shared" si="58"/>
        <v>1</v>
      </c>
      <c r="AM20" s="21" t="str">
        <f t="shared" si="58"/>
        <v>.</v>
      </c>
      <c r="AN20" s="21">
        <f t="shared" si="58"/>
        <v>0</v>
      </c>
      <c r="AO20" s="21">
        <f t="shared" si="58"/>
        <v>1</v>
      </c>
      <c r="AP20" s="21">
        <f t="shared" si="58"/>
        <v>1</v>
      </c>
      <c r="AQ20" s="21">
        <f t="shared" si="58"/>
        <v>0</v>
      </c>
      <c r="AR20" s="21" t="str">
        <f t="shared" si="58"/>
        <v>.</v>
      </c>
      <c r="AS20" s="21">
        <f t="shared" si="58"/>
        <v>1</v>
      </c>
      <c r="AT20" s="21">
        <f t="shared" si="58"/>
        <v>1</v>
      </c>
      <c r="AU20" s="21">
        <f t="shared" si="58"/>
        <v>1</v>
      </c>
      <c r="AV20" s="21">
        <f t="shared" si="58"/>
        <v>0</v>
      </c>
      <c r="AW20" s="2"/>
      <c r="AX20" s="2"/>
      <c r="AY20" s="2"/>
      <c r="AZ20" s="2"/>
      <c r="BA20" s="21" t="s">
        <v>59</v>
      </c>
      <c r="BB20" s="21" t="s">
        <v>79</v>
      </c>
      <c r="BC20" s="3">
        <f>C10</f>
        <v>-658</v>
      </c>
      <c r="BD20" s="9"/>
      <c r="BE20" s="36" t="str">
        <f>IF(AX22=BC22,"Результат выполнения операции верный и корректный, совпадает с суммой десятичных эквивалентов.","Результат операции не совпадает с суммой десятичных эквивалентов, так как произошло переполнение.")</f>
        <v>Результат выполнения операции верный и корректный, совпадает с суммой десятичных эквивалентов.</v>
      </c>
    </row>
    <row r="21" spans="1:57" x14ac:dyDescent="0.25">
      <c r="E21" s="30"/>
      <c r="F21" s="17" t="s">
        <v>51</v>
      </c>
      <c r="G21" s="11">
        <f t="shared" ref="G21:J21" si="59">MOD(G18+G19+G20,2)</f>
        <v>1</v>
      </c>
      <c r="H21" s="11">
        <f t="shared" si="59"/>
        <v>1</v>
      </c>
      <c r="I21" s="11">
        <f t="shared" si="59"/>
        <v>1</v>
      </c>
      <c r="J21" s="11">
        <f t="shared" si="59"/>
        <v>1</v>
      </c>
      <c r="K21" s="14" t="s">
        <v>47</v>
      </c>
      <c r="L21" s="11">
        <f t="shared" ref="L21:O21" si="60">MOD(L18+L19+L20,2)</f>
        <v>1</v>
      </c>
      <c r="M21" s="11">
        <f t="shared" si="60"/>
        <v>1</v>
      </c>
      <c r="N21" s="11">
        <f t="shared" si="60"/>
        <v>0</v>
      </c>
      <c r="O21" s="11">
        <f t="shared" si="60"/>
        <v>1</v>
      </c>
      <c r="P21" s="14" t="s">
        <v>47</v>
      </c>
      <c r="Q21" s="11">
        <f t="shared" ref="Q21:W21" si="61">MOD(Q18+Q19+Q20,2)</f>
        <v>0</v>
      </c>
      <c r="R21" s="11">
        <f t="shared" si="61"/>
        <v>1</v>
      </c>
      <c r="S21" s="11">
        <f t="shared" si="61"/>
        <v>1</v>
      </c>
      <c r="T21" s="11">
        <f t="shared" si="61"/>
        <v>0</v>
      </c>
      <c r="U21" s="14" t="s">
        <v>47</v>
      </c>
      <c r="V21" s="11">
        <f t="shared" si="61"/>
        <v>1</v>
      </c>
      <c r="W21" s="11">
        <f t="shared" si="61"/>
        <v>1</v>
      </c>
      <c r="X21" s="11">
        <f>MOD(X18+X19+X20,2)</f>
        <v>1</v>
      </c>
      <c r="Y21" s="12">
        <f>MOD(Y19+Y20,2)</f>
        <v>0</v>
      </c>
      <c r="AB21" s="8"/>
      <c r="AC21" s="2" t="s">
        <v>62</v>
      </c>
      <c r="AD21" s="2" t="s">
        <v>63</v>
      </c>
      <c r="AE21" s="2" t="s">
        <v>63</v>
      </c>
      <c r="AF21" s="2" t="s">
        <v>63</v>
      </c>
      <c r="AG21" s="2" t="s">
        <v>63</v>
      </c>
      <c r="AH21" s="2" t="s">
        <v>63</v>
      </c>
      <c r="AI21" s="2" t="s">
        <v>63</v>
      </c>
      <c r="AJ21" s="2" t="s">
        <v>63</v>
      </c>
      <c r="AK21" s="2" t="s">
        <v>63</v>
      </c>
      <c r="AL21" s="2" t="s">
        <v>63</v>
      </c>
      <c r="AM21" s="2" t="s">
        <v>63</v>
      </c>
      <c r="AN21" s="2" t="s">
        <v>63</v>
      </c>
      <c r="AO21" s="2" t="s">
        <v>63</v>
      </c>
      <c r="AP21" s="2" t="s">
        <v>63</v>
      </c>
      <c r="AQ21" s="2" t="s">
        <v>63</v>
      </c>
      <c r="AR21" s="2" t="s">
        <v>63</v>
      </c>
      <c r="AS21" s="2" t="s">
        <v>63</v>
      </c>
      <c r="AT21" s="2" t="s">
        <v>63</v>
      </c>
      <c r="AU21" s="2" t="s">
        <v>63</v>
      </c>
      <c r="AV21" s="2" t="s">
        <v>63</v>
      </c>
      <c r="AW21" s="2"/>
      <c r="AX21" s="21"/>
      <c r="AY21" s="2"/>
      <c r="AZ21" s="2"/>
      <c r="BA21" s="21" t="s">
        <v>63</v>
      </c>
      <c r="BB21" s="21" t="s">
        <v>64</v>
      </c>
      <c r="BC21" s="21" t="s">
        <v>65</v>
      </c>
      <c r="BD21" s="9"/>
      <c r="BE21" s="33"/>
    </row>
    <row r="22" spans="1:57" x14ac:dyDescent="0.25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AB22" s="8"/>
      <c r="AC22" s="2"/>
      <c r="AD22" s="2">
        <f t="shared" ref="AD22:AF22" si="62">MOD(AD18+AD19+AD20,2)</f>
        <v>0</v>
      </c>
      <c r="AE22" s="2">
        <f t="shared" si="62"/>
        <v>1</v>
      </c>
      <c r="AF22" s="2">
        <f t="shared" si="62"/>
        <v>1</v>
      </c>
      <c r="AG22" s="2">
        <f>MOD(AG18+AG19+AG20,2)</f>
        <v>0</v>
      </c>
      <c r="AH22" s="2"/>
      <c r="AI22" s="2">
        <f t="shared" ref="AI22:AK22" si="63">MOD(AI18+AI19+AI20,2)</f>
        <v>1</v>
      </c>
      <c r="AJ22" s="2">
        <f t="shared" si="63"/>
        <v>1</v>
      </c>
      <c r="AK22" s="2">
        <f t="shared" si="63"/>
        <v>0</v>
      </c>
      <c r="AL22" s="2">
        <f>MOD(AL18+AL19+AL20,2)</f>
        <v>0</v>
      </c>
      <c r="AM22" s="2"/>
      <c r="AN22" s="2">
        <f t="shared" ref="AN22:AP22" si="64">MOD(AN18+AN19+AN20,2)</f>
        <v>1</v>
      </c>
      <c r="AO22" s="2">
        <f t="shared" si="64"/>
        <v>0</v>
      </c>
      <c r="AP22" s="2">
        <f t="shared" si="64"/>
        <v>0</v>
      </c>
      <c r="AQ22" s="2">
        <f>MOD(AQ18+AQ19+AQ20,2)</f>
        <v>0</v>
      </c>
      <c r="AR22" s="2"/>
      <c r="AS22" s="2">
        <f>MOD(AS18+AS19+AS20,2)</f>
        <v>0</v>
      </c>
      <c r="AT22" s="2">
        <f t="shared" ref="AT22:AU22" si="65">MOD(AT18+AT19+AT20,2)</f>
        <v>0</v>
      </c>
      <c r="AU22" s="2">
        <f t="shared" si="65"/>
        <v>0</v>
      </c>
      <c r="AV22" s="2">
        <f>MOD(AV19+AV20,2)</f>
        <v>0</v>
      </c>
      <c r="AW22" s="24" t="s">
        <v>66</v>
      </c>
      <c r="AX22" s="21">
        <f>IF(AD22=1,-(32768-(AV22+2*AU22+4*AT22+8*AS22+16*AQ22+32*AP22+64*AO22+128*AN22+256*AL22+512*AK22+1024*AJ22+2048*AI22+4096*AG22+8192*AF22+16384*AE22)),AV22+2*AU22+4*AT22+8*AS22+16*AQ22+32*AP22+64*AO22+128*AN22+256*AL22+512*AK22+1024*AJ22+2048*AI22+4096*AG22+8192*AF22+16384*AE22)</f>
        <v>27776</v>
      </c>
      <c r="AY22" s="2" t="s">
        <v>67</v>
      </c>
      <c r="AZ22" s="2"/>
      <c r="BA22" s="21"/>
      <c r="BB22" s="21"/>
      <c r="BC22" s="3">
        <f>BC19+BC20</f>
        <v>27776</v>
      </c>
      <c r="BD22" s="9" t="s">
        <v>67</v>
      </c>
      <c r="BE22" s="33"/>
    </row>
    <row r="23" spans="1:57" x14ac:dyDescent="0.25">
      <c r="E23" s="30" t="s">
        <v>24</v>
      </c>
      <c r="F23" s="16" t="s">
        <v>48</v>
      </c>
      <c r="G23" s="6">
        <f t="shared" ref="G23" si="66">IF(OR(H23+H24+H25=3,H23+H24+H25=2),1,0)</f>
        <v>0</v>
      </c>
      <c r="H23" s="6">
        <f t="shared" ref="H23" si="67">IF(OR(I23+I24+I25=3,I23+I24+I25=2),1,0)</f>
        <v>0</v>
      </c>
      <c r="I23" s="6">
        <f>IF(OR(J23+J24+J25=3,J23+J24+J25=2),1,0)</f>
        <v>0</v>
      </c>
      <c r="J23" s="6">
        <f>IF(OR(L23+L23+L25=3,L23+L24+L25=2),1,0)</f>
        <v>0</v>
      </c>
      <c r="K23" s="37" t="s">
        <v>47</v>
      </c>
      <c r="L23" s="6">
        <f t="shared" ref="L23" si="68">IF(OR(M23+M24+M25=3,M23+M24+M25=2),1,0)</f>
        <v>0</v>
      </c>
      <c r="M23" s="6">
        <f t="shared" ref="M23" si="69">IF(OR(N23+N24+N25=3,N23+N24+N25=2),1,0)</f>
        <v>0</v>
      </c>
      <c r="N23" s="6">
        <f>IF(OR(O23+O24+O25=3,O23+O24+O25=2),1,0)</f>
        <v>0</v>
      </c>
      <c r="O23" s="6">
        <f>IF(OR(Q23+Q23+Q25=3,Q23+Q24+Q25=2),1,0)</f>
        <v>0</v>
      </c>
      <c r="P23" s="37" t="s">
        <v>47</v>
      </c>
      <c r="Q23" s="6">
        <f t="shared" ref="Q23" si="70">IF(OR(R23+R24+R25=3,R23+R24+R25=2),1,0)</f>
        <v>0</v>
      </c>
      <c r="R23" s="6">
        <f t="shared" ref="R23" si="71">IF(OR(S23+S24+S25=3,S23+S24+S25=2),1,0)</f>
        <v>0</v>
      </c>
      <c r="S23" s="6">
        <f>IF(OR(T23+T24+T25=3,T23+T24+T25=2),1,0)</f>
        <v>0</v>
      </c>
      <c r="T23" s="6">
        <f>IF(OR(V23+V23+V25=3,V23+V24+V25=2),1,0)</f>
        <v>0</v>
      </c>
      <c r="U23" s="37" t="s">
        <v>47</v>
      </c>
      <c r="V23" s="6">
        <f>IF(OR(W23+W24+W25=3,W23+W24+W25=2),1,0)</f>
        <v>0</v>
      </c>
      <c r="W23" s="6">
        <f>IF(OR(X23+X24+X25=3,X23+X24+X25=2),1,0)</f>
        <v>0</v>
      </c>
      <c r="X23" s="6">
        <f>IF(Y24+Y25=2,1,0)</f>
        <v>1</v>
      </c>
      <c r="Y23" s="38" t="s">
        <v>47</v>
      </c>
      <c r="AB23" s="8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9"/>
      <c r="BE23" s="33"/>
    </row>
    <row r="24" spans="1:57" x14ac:dyDescent="0.25">
      <c r="E24" s="30"/>
      <c r="F24" s="16" t="s">
        <v>49</v>
      </c>
      <c r="G24" s="2">
        <f>IF(G5=1,0,1)</f>
        <v>1</v>
      </c>
      <c r="H24" s="2">
        <f>IF(H5=1,0,1)</f>
        <v>0</v>
      </c>
      <c r="I24" s="2">
        <f t="shared" ref="I24:J24" si="72">IF(I5=1,0,1)</f>
        <v>0</v>
      </c>
      <c r="J24" s="2">
        <f t="shared" si="72"/>
        <v>1</v>
      </c>
      <c r="K24" s="13" t="s">
        <v>47</v>
      </c>
      <c r="L24" s="2">
        <f>IF(L5=1,0,1)</f>
        <v>0</v>
      </c>
      <c r="M24" s="2">
        <f t="shared" ref="M24:O24" si="73">IF(M5=1,0,1)</f>
        <v>0</v>
      </c>
      <c r="N24" s="2">
        <f t="shared" si="73"/>
        <v>0</v>
      </c>
      <c r="O24" s="2">
        <f t="shared" si="73"/>
        <v>0</v>
      </c>
      <c r="P24" s="13" t="s">
        <v>47</v>
      </c>
      <c r="Q24" s="2">
        <f>IF(Q5=1,0,1)</f>
        <v>1</v>
      </c>
      <c r="R24" s="2">
        <f t="shared" ref="R24:T24" si="74">IF(R5=1,0,1)</f>
        <v>1</v>
      </c>
      <c r="S24" s="2">
        <f t="shared" si="74"/>
        <v>1</v>
      </c>
      <c r="T24" s="2">
        <f t="shared" si="74"/>
        <v>0</v>
      </c>
      <c r="U24" s="13" t="s">
        <v>47</v>
      </c>
      <c r="V24" s="2">
        <f>IF(V5=1,0,1)</f>
        <v>1</v>
      </c>
      <c r="W24" s="2">
        <f t="shared" ref="W24:Y24" si="75">IF(W5=1,0,1)</f>
        <v>1</v>
      </c>
      <c r="X24" s="2">
        <f t="shared" si="75"/>
        <v>0</v>
      </c>
      <c r="Y24" s="9">
        <f t="shared" si="75"/>
        <v>1</v>
      </c>
      <c r="AB24" s="10"/>
      <c r="AC24" s="11"/>
      <c r="AD24" s="31" t="s">
        <v>68</v>
      </c>
      <c r="AE24" s="31"/>
      <c r="AF24" s="11">
        <f>IF(AD18+AD19+AD20&gt;1,1,0)</f>
        <v>1</v>
      </c>
      <c r="AG24" s="11"/>
      <c r="AH24" s="31" t="s">
        <v>69</v>
      </c>
      <c r="AI24" s="31"/>
      <c r="AJ24" s="11">
        <f>IF(MOD(AN22+AO22+AP22+AQ22+AS22+AT22+AU22+AV22,2)=0,1,0)</f>
        <v>0</v>
      </c>
      <c r="AK24" s="11"/>
      <c r="AL24" s="31" t="s">
        <v>70</v>
      </c>
      <c r="AM24" s="31"/>
      <c r="AN24" s="11">
        <f>AQ18</f>
        <v>1</v>
      </c>
      <c r="AO24" s="11"/>
      <c r="AP24" s="31" t="s">
        <v>71</v>
      </c>
      <c r="AQ24" s="31"/>
      <c r="AR24" s="11">
        <f>IF(AX22=0,1,0)</f>
        <v>0</v>
      </c>
      <c r="AS24" s="11"/>
      <c r="AT24" s="11"/>
      <c r="AU24" s="31" t="s">
        <v>72</v>
      </c>
      <c r="AV24" s="31"/>
      <c r="AW24" s="25">
        <f>AD22</f>
        <v>0</v>
      </c>
      <c r="AX24" s="26" t="s">
        <v>73</v>
      </c>
      <c r="AY24" s="25">
        <f>IF(AND(AD19=AD20, AD20&lt;&gt;AD22),1,0)</f>
        <v>0</v>
      </c>
      <c r="AZ24" s="11"/>
      <c r="BA24" s="11"/>
      <c r="BB24" s="11"/>
      <c r="BC24" s="11"/>
      <c r="BD24" s="12"/>
      <c r="BE24" s="33"/>
    </row>
    <row r="25" spans="1:57" x14ac:dyDescent="0.25">
      <c r="E25" s="30"/>
      <c r="F25" s="16" t="s">
        <v>50</v>
      </c>
      <c r="G25" s="2">
        <v>0</v>
      </c>
      <c r="H25" s="2">
        <v>0</v>
      </c>
      <c r="I25" s="2">
        <v>0</v>
      </c>
      <c r="J25" s="2">
        <v>0</v>
      </c>
      <c r="K25" s="13" t="s">
        <v>47</v>
      </c>
      <c r="L25" s="2">
        <v>0</v>
      </c>
      <c r="M25" s="2">
        <v>0</v>
      </c>
      <c r="N25" s="2">
        <v>0</v>
      </c>
      <c r="O25" s="2">
        <v>0</v>
      </c>
      <c r="P25" s="13" t="s">
        <v>47</v>
      </c>
      <c r="Q25" s="2">
        <v>0</v>
      </c>
      <c r="R25" s="2">
        <v>0</v>
      </c>
      <c r="S25" s="2">
        <v>0</v>
      </c>
      <c r="T25" s="2">
        <v>0</v>
      </c>
      <c r="U25" s="13" t="s">
        <v>47</v>
      </c>
      <c r="V25" s="2">
        <v>0</v>
      </c>
      <c r="W25" s="2">
        <v>0</v>
      </c>
      <c r="X25" s="2">
        <v>0</v>
      </c>
      <c r="Y25" s="9">
        <v>1</v>
      </c>
    </row>
    <row r="26" spans="1:57" x14ac:dyDescent="0.25">
      <c r="E26" s="30"/>
      <c r="F26" s="17" t="s">
        <v>52</v>
      </c>
      <c r="G26" s="11">
        <f t="shared" ref="G26:J26" si="76">MOD(G23+G24+G25,2)</f>
        <v>1</v>
      </c>
      <c r="H26" s="11">
        <f t="shared" si="76"/>
        <v>0</v>
      </c>
      <c r="I26" s="11">
        <f t="shared" si="76"/>
        <v>0</v>
      </c>
      <c r="J26" s="11">
        <f t="shared" si="76"/>
        <v>1</v>
      </c>
      <c r="K26" s="14" t="s">
        <v>47</v>
      </c>
      <c r="L26" s="11">
        <f t="shared" ref="L26:O26" si="77">MOD(L23+L24+L25,2)</f>
        <v>0</v>
      </c>
      <c r="M26" s="11">
        <f t="shared" si="77"/>
        <v>0</v>
      </c>
      <c r="N26" s="11">
        <f t="shared" si="77"/>
        <v>0</v>
      </c>
      <c r="O26" s="11">
        <f t="shared" si="77"/>
        <v>0</v>
      </c>
      <c r="P26" s="14" t="s">
        <v>47</v>
      </c>
      <c r="Q26" s="11">
        <f t="shared" ref="Q26:T26" si="78">MOD(Q23+Q24+Q25,2)</f>
        <v>1</v>
      </c>
      <c r="R26" s="11">
        <f t="shared" si="78"/>
        <v>1</v>
      </c>
      <c r="S26" s="11">
        <f t="shared" si="78"/>
        <v>1</v>
      </c>
      <c r="T26" s="11">
        <f t="shared" si="78"/>
        <v>0</v>
      </c>
      <c r="U26" s="14" t="s">
        <v>47</v>
      </c>
      <c r="V26" s="11">
        <f t="shared" ref="V26:W26" si="79">MOD(V23+V24+V25,2)</f>
        <v>1</v>
      </c>
      <c r="W26" s="11">
        <f t="shared" si="79"/>
        <v>1</v>
      </c>
      <c r="X26" s="11">
        <f>MOD(X23+X24+X25,2)</f>
        <v>1</v>
      </c>
      <c r="Y26" s="12">
        <f>MOD(Y24+Y25,2)</f>
        <v>0</v>
      </c>
      <c r="AB26" s="5"/>
      <c r="AC26" s="6" t="s">
        <v>48</v>
      </c>
      <c r="AD26" s="22">
        <f t="shared" ref="AD26:AE26" si="80">IF(OR(AE26+AE27+AE28=3,AE26+AE27+AE28=2),1,0)</f>
        <v>1</v>
      </c>
      <c r="AE26" s="22">
        <f t="shared" si="80"/>
        <v>1</v>
      </c>
      <c r="AF26" s="22">
        <f>IF(OR(AG26+AG27+AG28=3,AG26+AG27+AG28=2),1,0)</f>
        <v>1</v>
      </c>
      <c r="AG26" s="22">
        <f>IF(OR(AI26+AI27+AI28=3,AI26+AI27+AI28=2),1,0)</f>
        <v>0</v>
      </c>
      <c r="AH26" s="22"/>
      <c r="AI26" s="22">
        <f t="shared" ref="AI26:AJ26" si="81">IF(OR(AJ26+AJ27+AJ28=3,AJ26+AJ27+AJ28=2),1,0)</f>
        <v>0</v>
      </c>
      <c r="AJ26" s="22">
        <f t="shared" si="81"/>
        <v>0</v>
      </c>
      <c r="AK26" s="22">
        <f>IF(OR(AL26+AL27+AL28=3,AL26+AL27+AL28=2),1,0)</f>
        <v>1</v>
      </c>
      <c r="AL26" s="22">
        <f>IF(OR(AN26+AN27+AN28=3,AN26+AN27+AN28=2),1,0)</f>
        <v>1</v>
      </c>
      <c r="AM26" s="22"/>
      <c r="AN26" s="22">
        <f t="shared" ref="AN26:AO26" si="82">IF(OR(AO26+AO27+AO28=3,AO26+AO27+AO28=2),1,0)</f>
        <v>1</v>
      </c>
      <c r="AO26" s="22">
        <f t="shared" si="82"/>
        <v>1</v>
      </c>
      <c r="AP26" s="22">
        <f>IF(OR(AQ26+AQ27+AQ28=3,AQ26+AQ27+AQ28=2),1,0)</f>
        <v>0</v>
      </c>
      <c r="AQ26" s="22">
        <f>IF(OR(AS26+AS27+AS28=3,AS26+AS27+AS28=2),1,0)</f>
        <v>1</v>
      </c>
      <c r="AR26" s="22"/>
      <c r="AS26" s="22">
        <f>IF(OR(AT26+AT27+AT28=3,AT26+AT27+AT28=2),1,0)</f>
        <v>1</v>
      </c>
      <c r="AT26" s="22">
        <f>IF(OR(AU26+AU27+AU28=3,AU26+AU27+AU28=2),1,0)</f>
        <v>1</v>
      </c>
      <c r="AU26" s="22">
        <f>IF(AV27+AV28=2,1,0)</f>
        <v>0</v>
      </c>
      <c r="AV26" s="22"/>
      <c r="AW26" s="6"/>
      <c r="AX26" s="6"/>
      <c r="AY26" s="6"/>
      <c r="AZ26" s="6"/>
      <c r="BA26" s="6"/>
      <c r="BB26" s="6"/>
      <c r="BC26" s="6"/>
      <c r="BD26" s="7"/>
      <c r="BE26" s="34" t="str">
        <f>IF(AND(AD27=0,AD28=0),"При сложении двух положительных",IF(AND(AD27=1,AD28=1),"При сложении двух отрицательных","При сложении положительного и отрицательного"))</f>
        <v>При сложении двух отрицательных</v>
      </c>
    </row>
    <row r="27" spans="1:57" x14ac:dyDescent="0.25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AB27" s="8"/>
      <c r="AC27" s="2" t="s">
        <v>80</v>
      </c>
      <c r="AD27" s="21">
        <f>G10</f>
        <v>1</v>
      </c>
      <c r="AE27" s="21">
        <f t="shared" ref="AE27:AU28" si="83">H10</f>
        <v>1</v>
      </c>
      <c r="AF27" s="21">
        <f t="shared" si="83"/>
        <v>1</v>
      </c>
      <c r="AG27" s="21">
        <f t="shared" si="83"/>
        <v>1</v>
      </c>
      <c r="AH27" s="21" t="str">
        <f t="shared" si="83"/>
        <v>.</v>
      </c>
      <c r="AI27" s="21">
        <f t="shared" si="83"/>
        <v>1</v>
      </c>
      <c r="AJ27" s="21">
        <f t="shared" si="83"/>
        <v>1</v>
      </c>
      <c r="AK27" s="21">
        <f t="shared" si="83"/>
        <v>0</v>
      </c>
      <c r="AL27" s="21">
        <f t="shared" si="83"/>
        <v>1</v>
      </c>
      <c r="AM27" s="21" t="str">
        <f t="shared" si="83"/>
        <v>.</v>
      </c>
      <c r="AN27" s="21">
        <f t="shared" si="83"/>
        <v>0</v>
      </c>
      <c r="AO27" s="21">
        <f t="shared" si="83"/>
        <v>1</v>
      </c>
      <c r="AP27" s="21">
        <f t="shared" si="83"/>
        <v>1</v>
      </c>
      <c r="AQ27" s="21">
        <f t="shared" si="83"/>
        <v>0</v>
      </c>
      <c r="AR27" s="21" t="str">
        <f t="shared" si="83"/>
        <v>.</v>
      </c>
      <c r="AS27" s="21">
        <f t="shared" si="83"/>
        <v>1</v>
      </c>
      <c r="AT27" s="21">
        <f t="shared" si="83"/>
        <v>1</v>
      </c>
      <c r="AU27" s="21">
        <f t="shared" si="83"/>
        <v>1</v>
      </c>
      <c r="AV27" s="21">
        <f>Y10</f>
        <v>0</v>
      </c>
      <c r="AW27" s="2"/>
      <c r="AX27" s="2"/>
      <c r="AY27" s="2"/>
      <c r="AZ27" s="2"/>
      <c r="BA27" s="21"/>
      <c r="BB27" s="21" t="s">
        <v>81</v>
      </c>
      <c r="BC27" s="3">
        <f>C10</f>
        <v>-658</v>
      </c>
      <c r="BD27" s="9"/>
      <c r="BE27" s="35" t="str">
        <f>IF(AD30=0,"слагаемых получено положительное число.","слагаемых получено отрицательное число.")</f>
        <v>слагаемых получено отрицательное число.</v>
      </c>
    </row>
    <row r="28" spans="1:57" x14ac:dyDescent="0.25">
      <c r="E28" s="30" t="s">
        <v>28</v>
      </c>
      <c r="F28" s="16" t="s">
        <v>48</v>
      </c>
      <c r="G28" s="6">
        <f t="shared" ref="G28" si="84">IF(OR(H28+H29+H30=3,H28+H29+H30=2),1,0)</f>
        <v>0</v>
      </c>
      <c r="H28" s="6">
        <f t="shared" ref="H28" si="85">IF(OR(I28+I29+I30=3,I28+I29+I30=2),1,0)</f>
        <v>0</v>
      </c>
      <c r="I28" s="6">
        <f>IF(OR(J28+J29+J30=3,J28+J29+J30=2),1,0)</f>
        <v>0</v>
      </c>
      <c r="J28" s="6">
        <f>IF(OR(L28+L28+L30=3,L28+L29+L30=2),1,0)</f>
        <v>0</v>
      </c>
      <c r="K28" s="37" t="s">
        <v>47</v>
      </c>
      <c r="L28" s="6">
        <f t="shared" ref="L28" si="86">IF(OR(M28+M29+M30=3,M28+M29+M30=2),1,0)</f>
        <v>0</v>
      </c>
      <c r="M28" s="6">
        <f t="shared" ref="M28" si="87">IF(OR(N28+N29+N30=3,N28+N29+N30=2),1,0)</f>
        <v>0</v>
      </c>
      <c r="N28" s="6">
        <f>IF(OR(O28+O29+O30=3,O28+O29+O30=2),1,0)</f>
        <v>0</v>
      </c>
      <c r="O28" s="6">
        <f>IF(OR(Q28+Q28+Q30=3,Q28+Q29+Q30=2),1,0)</f>
        <v>0</v>
      </c>
      <c r="P28" s="37" t="s">
        <v>47</v>
      </c>
      <c r="Q28" s="6">
        <f t="shared" ref="Q28" si="88">IF(OR(R28+R29+R30=3,R28+R29+R30=2),1,0)</f>
        <v>0</v>
      </c>
      <c r="R28" s="6">
        <f t="shared" ref="R28" si="89">IF(OR(S28+S29+S30=3,S28+S29+S30=2),1,0)</f>
        <v>0</v>
      </c>
      <c r="S28" s="6">
        <f>IF(OR(T28+T29+T30=3,T28+T29+T30=2),1,0)</f>
        <v>0</v>
      </c>
      <c r="T28" s="6">
        <f>IF(OR(V28+V28+V30=3,V28+V29+V30=2),1,0)</f>
        <v>0</v>
      </c>
      <c r="U28" s="37" t="s">
        <v>47</v>
      </c>
      <c r="V28" s="6">
        <f>IF(OR(W28+W29+W30=3,W28+W29+W30=2),1,0)</f>
        <v>0</v>
      </c>
      <c r="W28" s="6">
        <f>IF(OR(X28+X29+X30=3,X28+X29+X30=2),1,0)</f>
        <v>1</v>
      </c>
      <c r="X28" s="6">
        <f>IF(Y29+Y30=2,1,0)</f>
        <v>1</v>
      </c>
      <c r="Y28" s="38" t="s">
        <v>47</v>
      </c>
      <c r="AB28" s="23" t="s">
        <v>59</v>
      </c>
      <c r="AC28" s="2" t="s">
        <v>82</v>
      </c>
      <c r="AD28" s="21">
        <f>G11</f>
        <v>1</v>
      </c>
      <c r="AE28" s="21">
        <f t="shared" si="83"/>
        <v>0</v>
      </c>
      <c r="AF28" s="21">
        <f t="shared" si="83"/>
        <v>0</v>
      </c>
      <c r="AG28" s="21">
        <f t="shared" si="83"/>
        <v>1</v>
      </c>
      <c r="AH28" s="21" t="str">
        <f t="shared" si="83"/>
        <v>.</v>
      </c>
      <c r="AI28" s="21">
        <f t="shared" si="83"/>
        <v>0</v>
      </c>
      <c r="AJ28" s="21">
        <f t="shared" si="83"/>
        <v>0</v>
      </c>
      <c r="AK28" s="21">
        <f t="shared" si="83"/>
        <v>0</v>
      </c>
      <c r="AL28" s="21">
        <f t="shared" si="83"/>
        <v>0</v>
      </c>
      <c r="AM28" s="21" t="str">
        <f t="shared" si="83"/>
        <v>.</v>
      </c>
      <c r="AN28" s="21">
        <f t="shared" si="83"/>
        <v>1</v>
      </c>
      <c r="AO28" s="21">
        <f t="shared" si="83"/>
        <v>1</v>
      </c>
      <c r="AP28" s="21">
        <f t="shared" si="83"/>
        <v>1</v>
      </c>
      <c r="AQ28" s="21">
        <f t="shared" si="83"/>
        <v>0</v>
      </c>
      <c r="AR28" s="21" t="str">
        <f t="shared" si="83"/>
        <v>.</v>
      </c>
      <c r="AS28" s="21">
        <f t="shared" si="83"/>
        <v>1</v>
      </c>
      <c r="AT28" s="21">
        <f t="shared" si="83"/>
        <v>1</v>
      </c>
      <c r="AU28" s="21">
        <f t="shared" si="83"/>
        <v>1</v>
      </c>
      <c r="AV28" s="21">
        <f t="shared" ref="AV28" si="90">Y11</f>
        <v>0</v>
      </c>
      <c r="AW28" s="2"/>
      <c r="AX28" s="2"/>
      <c r="AY28" s="2"/>
      <c r="AZ28" s="2"/>
      <c r="BA28" s="21" t="s">
        <v>59</v>
      </c>
      <c r="BB28" s="21" t="s">
        <v>83</v>
      </c>
      <c r="BC28" s="3">
        <f>C11</f>
        <v>-28434</v>
      </c>
      <c r="BD28" s="9"/>
      <c r="BE28" s="36" t="str">
        <f>IF(AX30=BC30,"Результат выполнения операции верный и корректный, совпадает с суммой десятичных эквивалентов.","Результат операции не совпадает с суммой десятичных эквивалентов, так как произошло переполнение.")</f>
        <v>Результат выполнения операции верный и корректный, совпадает с суммой десятичных эквивалентов.</v>
      </c>
    </row>
    <row r="29" spans="1:57" x14ac:dyDescent="0.25">
      <c r="E29" s="30"/>
      <c r="F29" s="16" t="s">
        <v>49</v>
      </c>
      <c r="G29" s="2">
        <f>IF(G6=1,0,1)</f>
        <v>1</v>
      </c>
      <c r="H29" s="2">
        <f>IF(H6=1,0,1)</f>
        <v>0</v>
      </c>
      <c r="I29" s="2">
        <f t="shared" ref="I29:Y29" si="91">IF(I6=1,0,1)</f>
        <v>0</v>
      </c>
      <c r="J29" s="2">
        <f t="shared" si="91"/>
        <v>0</v>
      </c>
      <c r="K29" s="13" t="s">
        <v>47</v>
      </c>
      <c r="L29" s="2">
        <f t="shared" si="91"/>
        <v>1</v>
      </c>
      <c r="M29" s="2">
        <f t="shared" si="91"/>
        <v>1</v>
      </c>
      <c r="N29" s="2">
        <f t="shared" si="91"/>
        <v>1</v>
      </c>
      <c r="O29" s="2">
        <f t="shared" si="91"/>
        <v>0</v>
      </c>
      <c r="P29" s="13" t="s">
        <v>47</v>
      </c>
      <c r="Q29" s="2">
        <f t="shared" si="91"/>
        <v>0</v>
      </c>
      <c r="R29" s="2">
        <f t="shared" si="91"/>
        <v>1</v>
      </c>
      <c r="S29" s="2">
        <f t="shared" si="91"/>
        <v>0</v>
      </c>
      <c r="T29" s="2">
        <f t="shared" si="91"/>
        <v>1</v>
      </c>
      <c r="U29" s="13" t="s">
        <v>47</v>
      </c>
      <c r="V29" s="2">
        <f t="shared" si="91"/>
        <v>1</v>
      </c>
      <c r="W29" s="2">
        <f t="shared" si="91"/>
        <v>0</v>
      </c>
      <c r="X29" s="2">
        <f t="shared" si="91"/>
        <v>1</v>
      </c>
      <c r="Y29" s="9">
        <f t="shared" si="91"/>
        <v>1</v>
      </c>
      <c r="AB29" s="8"/>
      <c r="AC29" s="2" t="s">
        <v>62</v>
      </c>
      <c r="AD29" s="2" t="s">
        <v>63</v>
      </c>
      <c r="AE29" s="2" t="s">
        <v>63</v>
      </c>
      <c r="AF29" s="2" t="s">
        <v>63</v>
      </c>
      <c r="AG29" s="2" t="s">
        <v>63</v>
      </c>
      <c r="AH29" s="2" t="s">
        <v>63</v>
      </c>
      <c r="AI29" s="2" t="s">
        <v>63</v>
      </c>
      <c r="AJ29" s="2" t="s">
        <v>63</v>
      </c>
      <c r="AK29" s="2" t="s">
        <v>63</v>
      </c>
      <c r="AL29" s="2" t="s">
        <v>63</v>
      </c>
      <c r="AM29" s="2" t="s">
        <v>63</v>
      </c>
      <c r="AN29" s="2" t="s">
        <v>63</v>
      </c>
      <c r="AO29" s="2" t="s">
        <v>63</v>
      </c>
      <c r="AP29" s="2" t="s">
        <v>63</v>
      </c>
      <c r="AQ29" s="2" t="s">
        <v>63</v>
      </c>
      <c r="AR29" s="2" t="s">
        <v>63</v>
      </c>
      <c r="AS29" s="2" t="s">
        <v>63</v>
      </c>
      <c r="AT29" s="2" t="s">
        <v>63</v>
      </c>
      <c r="AU29" s="2" t="s">
        <v>63</v>
      </c>
      <c r="AV29" s="2" t="s">
        <v>63</v>
      </c>
      <c r="AW29" s="2"/>
      <c r="AX29" s="21"/>
      <c r="AY29" s="2"/>
      <c r="AZ29" s="2"/>
      <c r="BA29" s="21" t="s">
        <v>63</v>
      </c>
      <c r="BB29" s="21" t="s">
        <v>64</v>
      </c>
      <c r="BC29" s="21" t="s">
        <v>65</v>
      </c>
      <c r="BD29" s="9"/>
      <c r="BE29" s="33"/>
    </row>
    <row r="30" spans="1:57" x14ac:dyDescent="0.25">
      <c r="E30" s="30"/>
      <c r="F30" s="16" t="s">
        <v>50</v>
      </c>
      <c r="G30" s="2">
        <v>0</v>
      </c>
      <c r="H30" s="2">
        <v>0</v>
      </c>
      <c r="I30" s="2">
        <v>0</v>
      </c>
      <c r="J30" s="2">
        <v>0</v>
      </c>
      <c r="K30" s="13" t="s">
        <v>47</v>
      </c>
      <c r="L30" s="2">
        <v>0</v>
      </c>
      <c r="M30" s="2">
        <v>0</v>
      </c>
      <c r="N30" s="2">
        <v>0</v>
      </c>
      <c r="O30" s="2">
        <v>0</v>
      </c>
      <c r="P30" s="13" t="s">
        <v>47</v>
      </c>
      <c r="Q30" s="2">
        <v>0</v>
      </c>
      <c r="R30" s="2">
        <v>0</v>
      </c>
      <c r="S30" s="2">
        <v>0</v>
      </c>
      <c r="T30" s="2">
        <v>0</v>
      </c>
      <c r="U30" s="13" t="s">
        <v>47</v>
      </c>
      <c r="V30" s="2">
        <v>0</v>
      </c>
      <c r="W30" s="2">
        <v>0</v>
      </c>
      <c r="X30" s="2">
        <v>0</v>
      </c>
      <c r="Y30" s="9">
        <v>1</v>
      </c>
      <c r="AB30" s="8"/>
      <c r="AC30" s="2"/>
      <c r="AD30" s="2">
        <f t="shared" ref="AD30:AF30" si="92">MOD(AD26+AD27+AD28,2)</f>
        <v>1</v>
      </c>
      <c r="AE30" s="2">
        <f t="shared" si="92"/>
        <v>0</v>
      </c>
      <c r="AF30" s="2">
        <f t="shared" si="92"/>
        <v>0</v>
      </c>
      <c r="AG30" s="2">
        <f>MOD(AG26+AG27+AG28,2)</f>
        <v>0</v>
      </c>
      <c r="AH30" s="2"/>
      <c r="AI30" s="2">
        <f t="shared" ref="AI30:AK30" si="93">MOD(AI26+AI27+AI28,2)</f>
        <v>1</v>
      </c>
      <c r="AJ30" s="2">
        <f t="shared" si="93"/>
        <v>1</v>
      </c>
      <c r="AK30" s="2">
        <f t="shared" si="93"/>
        <v>1</v>
      </c>
      <c r="AL30" s="2">
        <f>MOD(AL26+AL27+AL28,2)</f>
        <v>0</v>
      </c>
      <c r="AM30" s="2"/>
      <c r="AN30" s="2">
        <f t="shared" ref="AN30:AP30" si="94">MOD(AN26+AN27+AN28,2)</f>
        <v>0</v>
      </c>
      <c r="AO30" s="2">
        <f t="shared" si="94"/>
        <v>1</v>
      </c>
      <c r="AP30" s="2">
        <f t="shared" si="94"/>
        <v>0</v>
      </c>
      <c r="AQ30" s="2">
        <f>MOD(AQ26+AQ27+AQ28,2)</f>
        <v>1</v>
      </c>
      <c r="AR30" s="2"/>
      <c r="AS30" s="2">
        <f>MOD(AS26+AS27+AS28,2)</f>
        <v>1</v>
      </c>
      <c r="AT30" s="2">
        <f t="shared" ref="AT30:AU30" si="95">MOD(AT26+AT27+AT28,2)</f>
        <v>1</v>
      </c>
      <c r="AU30" s="2">
        <f t="shared" si="95"/>
        <v>0</v>
      </c>
      <c r="AV30" s="2">
        <f>MOD(AV27+AV28,2)</f>
        <v>0</v>
      </c>
      <c r="AW30" s="24" t="s">
        <v>66</v>
      </c>
      <c r="AX30" s="21">
        <f>IF(AD30=1,-(32768-(AV30+2*AU30+4*AT30+8*AS30+16*AQ30+32*AP30+64*AO30+128*AN30+256*AL30+512*AK30+1024*AJ30+2048*AI30+4096*AG30+8192*AF30+16384*AE30)),AV30+2*AU30+4*AT30+8*AS30+16*AQ30+32*AP30+64*AO30+128*AN30+256*AL30+512*AK30+1024*AJ30+2048*AI30+4096*AG30+8192*AF30+16384*AE30)</f>
        <v>-29092</v>
      </c>
      <c r="AY30" s="2" t="s">
        <v>67</v>
      </c>
      <c r="AZ30" s="2"/>
      <c r="BA30" s="21"/>
      <c r="BB30" s="21"/>
      <c r="BC30" s="3">
        <f>BC27+BC28</f>
        <v>-29092</v>
      </c>
      <c r="BD30" s="9" t="s">
        <v>67</v>
      </c>
      <c r="BE30" s="33"/>
    </row>
    <row r="31" spans="1:57" x14ac:dyDescent="0.25">
      <c r="E31" s="30"/>
      <c r="F31" s="17" t="s">
        <v>53</v>
      </c>
      <c r="G31" s="11">
        <f t="shared" ref="G31:J31" si="96">MOD(G28+G29+G30,2)</f>
        <v>1</v>
      </c>
      <c r="H31" s="11">
        <f t="shared" si="96"/>
        <v>0</v>
      </c>
      <c r="I31" s="11">
        <f t="shared" si="96"/>
        <v>0</v>
      </c>
      <c r="J31" s="11">
        <f t="shared" si="96"/>
        <v>0</v>
      </c>
      <c r="K31" s="14" t="s">
        <v>47</v>
      </c>
      <c r="L31" s="11">
        <f t="shared" ref="L31:O31" si="97">MOD(L28+L29+L30,2)</f>
        <v>1</v>
      </c>
      <c r="M31" s="11">
        <f t="shared" si="97"/>
        <v>1</v>
      </c>
      <c r="N31" s="11">
        <f t="shared" si="97"/>
        <v>1</v>
      </c>
      <c r="O31" s="11">
        <f t="shared" si="97"/>
        <v>0</v>
      </c>
      <c r="P31" s="14" t="s">
        <v>47</v>
      </c>
      <c r="Q31" s="11">
        <f t="shared" ref="Q31:T31" si="98">MOD(Q28+Q29+Q30,2)</f>
        <v>0</v>
      </c>
      <c r="R31" s="11">
        <f t="shared" si="98"/>
        <v>1</v>
      </c>
      <c r="S31" s="11">
        <f t="shared" si="98"/>
        <v>0</v>
      </c>
      <c r="T31" s="11">
        <f t="shared" si="98"/>
        <v>1</v>
      </c>
      <c r="U31" s="14" t="s">
        <v>47</v>
      </c>
      <c r="V31" s="11">
        <f t="shared" ref="V31:W31" si="99">MOD(V28+V29+V30,2)</f>
        <v>1</v>
      </c>
      <c r="W31" s="11">
        <f t="shared" si="99"/>
        <v>1</v>
      </c>
      <c r="X31" s="11">
        <f>MOD(X28+X29+X30,2)</f>
        <v>0</v>
      </c>
      <c r="Y31" s="12">
        <f>MOD(Y29+Y30,2)</f>
        <v>0</v>
      </c>
      <c r="AB31" s="8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9"/>
      <c r="BE31" s="33"/>
    </row>
    <row r="32" spans="1:57" x14ac:dyDescent="0.25"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AB32" s="10"/>
      <c r="AC32" s="11"/>
      <c r="AD32" s="31" t="s">
        <v>68</v>
      </c>
      <c r="AE32" s="31"/>
      <c r="AF32" s="11">
        <f>IF(AD26+AD27+AD28&gt;1,1,0)</f>
        <v>1</v>
      </c>
      <c r="AG32" s="11"/>
      <c r="AH32" s="31" t="s">
        <v>69</v>
      </c>
      <c r="AI32" s="31"/>
      <c r="AJ32" s="11">
        <f>IF(MOD(AN30+AO30+AP30+AQ30+AS30+AT30+AU30+AV30,2)=0,1,0)</f>
        <v>1</v>
      </c>
      <c r="AK32" s="11"/>
      <c r="AL32" s="31" t="s">
        <v>70</v>
      </c>
      <c r="AM32" s="31"/>
      <c r="AN32" s="11">
        <f>AQ26</f>
        <v>1</v>
      </c>
      <c r="AO32" s="11"/>
      <c r="AP32" s="31" t="s">
        <v>71</v>
      </c>
      <c r="AQ32" s="31"/>
      <c r="AR32" s="11">
        <f>IF(AX30=0,1,0)</f>
        <v>0</v>
      </c>
      <c r="AS32" s="11"/>
      <c r="AT32" s="11"/>
      <c r="AU32" s="31" t="s">
        <v>72</v>
      </c>
      <c r="AV32" s="31"/>
      <c r="AW32" s="25">
        <f>AD30</f>
        <v>1</v>
      </c>
      <c r="AX32" s="26" t="s">
        <v>73</v>
      </c>
      <c r="AY32" s="25">
        <f>IF(AND(AD27=AD28, AD28&lt;&gt;AD30),1,0)</f>
        <v>0</v>
      </c>
      <c r="AZ32" s="11"/>
      <c r="BA32" s="11"/>
      <c r="BB32" s="11"/>
      <c r="BC32" s="11"/>
      <c r="BD32" s="12"/>
      <c r="BE32" s="33"/>
    </row>
    <row r="33" spans="5:57" x14ac:dyDescent="0.25">
      <c r="E33" s="30" t="s">
        <v>32</v>
      </c>
      <c r="F33" s="16" t="s">
        <v>48</v>
      </c>
      <c r="G33" s="6">
        <f t="shared" ref="G33" si="100">IF(OR(H33+H34+H35=3,H33+H34+H35=2),1,0)</f>
        <v>0</v>
      </c>
      <c r="H33" s="6">
        <f t="shared" ref="H33" si="101">IF(OR(I33+I34+I35=3,I33+I34+I35=2),1,0)</f>
        <v>0</v>
      </c>
      <c r="I33" s="6">
        <f>IF(OR(J33+J34+J35=3,J33+J34+J35=2),1,0)</f>
        <v>0</v>
      </c>
      <c r="J33" s="6">
        <f>IF(OR(L33+L33+L35=3,L33+L34+L35=2),1,0)</f>
        <v>0</v>
      </c>
      <c r="K33" s="37" t="s">
        <v>47</v>
      </c>
      <c r="L33" s="6">
        <f t="shared" ref="L33" si="102">IF(OR(M33+M34+M35=3,M33+M34+M35=2),1,0)</f>
        <v>0</v>
      </c>
      <c r="M33" s="6">
        <f t="shared" ref="M33" si="103">IF(OR(N33+N34+N35=3,N33+N34+N35=2),1,0)</f>
        <v>0</v>
      </c>
      <c r="N33" s="6">
        <f>IF(OR(O33+O34+O35=3,O33+O34+O35=2),1,0)</f>
        <v>0</v>
      </c>
      <c r="O33" s="6">
        <f>IF(OR(Q33+Q33+Q35=3,Q33+Q34+Q35=2),1,0)</f>
        <v>0</v>
      </c>
      <c r="P33" s="37" t="s">
        <v>47</v>
      </c>
      <c r="Q33" s="6">
        <f t="shared" ref="Q33" si="104">IF(OR(R33+R34+R35=3,R33+R34+R35=2),1,0)</f>
        <v>0</v>
      </c>
      <c r="R33" s="6">
        <f t="shared" ref="R33" si="105">IF(OR(S33+S34+S35=3,S33+S34+S35=2),1,0)</f>
        <v>0</v>
      </c>
      <c r="S33" s="6">
        <f>IF(OR(T33+T34+T35=3,T33+T34+T35=2),1,0)</f>
        <v>0</v>
      </c>
      <c r="T33" s="6">
        <f>IF(OR(V33+V33+V35=3,V33+V34+V35=2),1,0)</f>
        <v>0</v>
      </c>
      <c r="U33" s="37" t="s">
        <v>47</v>
      </c>
      <c r="V33" s="6">
        <f>IF(OR(W33+W34+W35=3,W33+W34+W35=2),1,0)</f>
        <v>0</v>
      </c>
      <c r="W33" s="6">
        <f>IF(OR(X33+X34+X35=3,X33+X34+X35=2),1,0)</f>
        <v>0</v>
      </c>
      <c r="X33" s="6">
        <f>IF(Y34+Y35=2,1,0)</f>
        <v>1</v>
      </c>
      <c r="Y33" s="38" t="s">
        <v>47</v>
      </c>
      <c r="BE33" s="33"/>
    </row>
    <row r="34" spans="5:57" x14ac:dyDescent="0.25">
      <c r="E34" s="30"/>
      <c r="F34" s="16" t="s">
        <v>49</v>
      </c>
      <c r="G34" s="2">
        <f>IF(G7=1,0,1)</f>
        <v>0</v>
      </c>
      <c r="H34" s="2">
        <f>IF(H7=1,0,1)</f>
        <v>0</v>
      </c>
      <c r="I34" s="2">
        <f t="shared" ref="I34:Y34" si="106">IF(I7=1,0,1)</f>
        <v>0</v>
      </c>
      <c r="J34" s="2">
        <f t="shared" si="106"/>
        <v>1</v>
      </c>
      <c r="K34" s="13" t="s">
        <v>47</v>
      </c>
      <c r="L34" s="2">
        <f t="shared" si="106"/>
        <v>1</v>
      </c>
      <c r="M34" s="2">
        <f t="shared" si="106"/>
        <v>1</v>
      </c>
      <c r="N34" s="2">
        <f t="shared" si="106"/>
        <v>1</v>
      </c>
      <c r="O34" s="2">
        <f t="shared" si="106"/>
        <v>1</v>
      </c>
      <c r="P34" s="13" t="s">
        <v>47</v>
      </c>
      <c r="Q34" s="2">
        <f t="shared" si="106"/>
        <v>0</v>
      </c>
      <c r="R34" s="2">
        <f t="shared" si="106"/>
        <v>1</v>
      </c>
      <c r="S34" s="2">
        <f t="shared" si="106"/>
        <v>0</v>
      </c>
      <c r="T34" s="2">
        <f t="shared" si="106"/>
        <v>0</v>
      </c>
      <c r="U34" s="13" t="s">
        <v>47</v>
      </c>
      <c r="V34" s="2">
        <f t="shared" si="106"/>
        <v>1</v>
      </c>
      <c r="W34" s="2">
        <f t="shared" si="106"/>
        <v>0</v>
      </c>
      <c r="X34" s="2">
        <f t="shared" si="106"/>
        <v>0</v>
      </c>
      <c r="Y34" s="9">
        <f t="shared" si="106"/>
        <v>1</v>
      </c>
      <c r="AB34" s="5"/>
      <c r="AC34" s="6" t="s">
        <v>48</v>
      </c>
      <c r="AD34" s="22">
        <f t="shared" ref="AD34:AE34" si="107">IF(OR(AE34+AE35+AE36=3,AE34+AE35+AE36=2),1,0)</f>
        <v>0</v>
      </c>
      <c r="AE34" s="22">
        <f t="shared" si="107"/>
        <v>0</v>
      </c>
      <c r="AF34" s="22">
        <f>IF(OR(AG34+AG35+AG36=3,AG34+AG35+AG36=2),1,0)</f>
        <v>0</v>
      </c>
      <c r="AG34" s="22">
        <f>IF(OR(AI34+AI35+AI36=3,AI34+AI35+AI36=2),1,0)</f>
        <v>0</v>
      </c>
      <c r="AH34" s="22"/>
      <c r="AI34" s="22">
        <f t="shared" ref="AI34:AJ34" si="108">IF(OR(AJ34+AJ35+AJ36=3,AJ34+AJ35+AJ36=2),1,0)</f>
        <v>0</v>
      </c>
      <c r="AJ34" s="22">
        <f t="shared" si="108"/>
        <v>0</v>
      </c>
      <c r="AK34" s="22">
        <f>IF(OR(AL34+AL35+AL36=3,AL34+AL35+AL36=2),1,0)</f>
        <v>0</v>
      </c>
      <c r="AL34" s="22">
        <f>IF(OR(AN34+AN35+AN36=3,AN34+AN35+AN36=2),1,0)</f>
        <v>1</v>
      </c>
      <c r="AM34" s="22"/>
      <c r="AN34" s="22">
        <f t="shared" ref="AN34:AO34" si="109">IF(OR(AO34+AO35+AO36=3,AO34+AO35+AO36=2),1,0)</f>
        <v>1</v>
      </c>
      <c r="AO34" s="22">
        <f t="shared" si="109"/>
        <v>1</v>
      </c>
      <c r="AP34" s="22">
        <f>IF(OR(AQ34+AQ35+AQ36=3,AQ34+AQ35+AQ36=2),1,0)</f>
        <v>1</v>
      </c>
      <c r="AQ34" s="22">
        <f>IF(OR(AS34+AS35+AS36=3,AS34+AS35+AS36=2),1,0)</f>
        <v>1</v>
      </c>
      <c r="AR34" s="22"/>
      <c r="AS34" s="22">
        <f>IF(OR(AT34+AT35+AT36=3,AT34+AT35+AT36=2),1,0)</f>
        <v>1</v>
      </c>
      <c r="AT34" s="22">
        <f>IF(OR(AU34+AU35+AU36=3,AU34+AU35+AU36=2),1,0)</f>
        <v>0</v>
      </c>
      <c r="AU34" s="22">
        <f>IF(AV35+AV36=2,1,0)</f>
        <v>0</v>
      </c>
      <c r="AV34" s="22"/>
      <c r="AW34" s="6"/>
      <c r="AX34" s="6"/>
      <c r="AY34" s="6"/>
      <c r="AZ34" s="6"/>
      <c r="BA34" s="6"/>
      <c r="BB34" s="6"/>
      <c r="BC34" s="6"/>
      <c r="BD34" s="7"/>
      <c r="BE34" s="34" t="str">
        <f>IF(AND(AD35=0,AD36=0),"При сложении двух положительных",IF(AND(AD35=1,AD36=1),"При сложении двух отрицательных","При сложении положительного и отрицательного"))</f>
        <v>При сложении двух отрицательных</v>
      </c>
    </row>
    <row r="35" spans="5:57" x14ac:dyDescent="0.25">
      <c r="E35" s="30"/>
      <c r="F35" s="16" t="s">
        <v>50</v>
      </c>
      <c r="G35" s="2">
        <v>0</v>
      </c>
      <c r="H35" s="2">
        <v>0</v>
      </c>
      <c r="I35" s="2">
        <v>0</v>
      </c>
      <c r="J35" s="2">
        <v>0</v>
      </c>
      <c r="K35" s="13" t="s">
        <v>47</v>
      </c>
      <c r="L35" s="2">
        <v>0</v>
      </c>
      <c r="M35" s="2">
        <v>0</v>
      </c>
      <c r="N35" s="2">
        <v>0</v>
      </c>
      <c r="O35" s="2">
        <v>0</v>
      </c>
      <c r="P35" s="13" t="s">
        <v>47</v>
      </c>
      <c r="Q35" s="2">
        <v>0</v>
      </c>
      <c r="R35" s="2">
        <v>0</v>
      </c>
      <c r="S35" s="2">
        <v>0</v>
      </c>
      <c r="T35" s="2">
        <v>0</v>
      </c>
      <c r="U35" s="13" t="s">
        <v>47</v>
      </c>
      <c r="V35" s="2">
        <v>0</v>
      </c>
      <c r="W35" s="2">
        <v>0</v>
      </c>
      <c r="X35" s="2">
        <v>0</v>
      </c>
      <c r="Y35" s="9">
        <v>1</v>
      </c>
      <c r="AB35" s="8"/>
      <c r="AC35" s="2" t="s">
        <v>84</v>
      </c>
      <c r="AD35" s="21">
        <f>G11</f>
        <v>1</v>
      </c>
      <c r="AE35" s="21">
        <f t="shared" ref="AE35:AV36" si="110">H11</f>
        <v>0</v>
      </c>
      <c r="AF35" s="21">
        <f t="shared" si="110"/>
        <v>0</v>
      </c>
      <c r="AG35" s="21">
        <f t="shared" si="110"/>
        <v>1</v>
      </c>
      <c r="AH35" s="21" t="str">
        <f t="shared" si="110"/>
        <v>.</v>
      </c>
      <c r="AI35" s="21">
        <f t="shared" si="110"/>
        <v>0</v>
      </c>
      <c r="AJ35" s="21">
        <f t="shared" si="110"/>
        <v>0</v>
      </c>
      <c r="AK35" s="21">
        <f t="shared" si="110"/>
        <v>0</v>
      </c>
      <c r="AL35" s="21">
        <f t="shared" si="110"/>
        <v>0</v>
      </c>
      <c r="AM35" s="21" t="str">
        <f t="shared" si="110"/>
        <v>.</v>
      </c>
      <c r="AN35" s="21">
        <f t="shared" si="110"/>
        <v>1</v>
      </c>
      <c r="AO35" s="21">
        <f t="shared" si="110"/>
        <v>1</v>
      </c>
      <c r="AP35" s="21">
        <f t="shared" si="110"/>
        <v>1</v>
      </c>
      <c r="AQ35" s="21">
        <f t="shared" si="110"/>
        <v>0</v>
      </c>
      <c r="AR35" s="21" t="str">
        <f t="shared" si="110"/>
        <v>.</v>
      </c>
      <c r="AS35" s="21">
        <f t="shared" si="110"/>
        <v>1</v>
      </c>
      <c r="AT35" s="21">
        <f t="shared" si="110"/>
        <v>1</v>
      </c>
      <c r="AU35" s="21">
        <f t="shared" si="110"/>
        <v>1</v>
      </c>
      <c r="AV35" s="21">
        <f t="shared" si="110"/>
        <v>0</v>
      </c>
      <c r="AW35" s="2"/>
      <c r="AX35" s="2"/>
      <c r="AY35" s="2"/>
      <c r="AZ35" s="2"/>
      <c r="BA35" s="21"/>
      <c r="BB35" s="21" t="s">
        <v>85</v>
      </c>
      <c r="BC35" s="3">
        <f>C11</f>
        <v>-28434</v>
      </c>
      <c r="BD35" s="9"/>
      <c r="BE35" s="35" t="str">
        <f>IF(AD38=0,"слагаемых получено положительное число.","слагаемых получено отрицательное число.")</f>
        <v>слагаемых получено положительное число.</v>
      </c>
    </row>
    <row r="36" spans="5:57" x14ac:dyDescent="0.25">
      <c r="E36" s="30"/>
      <c r="F36" s="17" t="s">
        <v>54</v>
      </c>
      <c r="G36" s="11">
        <f t="shared" ref="G36:J36" si="111">MOD(G33+G34+G35,2)</f>
        <v>0</v>
      </c>
      <c r="H36" s="11">
        <f t="shared" si="111"/>
        <v>0</v>
      </c>
      <c r="I36" s="11">
        <f t="shared" si="111"/>
        <v>0</v>
      </c>
      <c r="J36" s="11">
        <f t="shared" si="111"/>
        <v>1</v>
      </c>
      <c r="K36" s="14" t="s">
        <v>47</v>
      </c>
      <c r="L36" s="11">
        <f t="shared" ref="L36:O36" si="112">MOD(L33+L34+L35,2)</f>
        <v>1</v>
      </c>
      <c r="M36" s="11">
        <f t="shared" si="112"/>
        <v>1</v>
      </c>
      <c r="N36" s="11">
        <f t="shared" si="112"/>
        <v>1</v>
      </c>
      <c r="O36" s="11">
        <f t="shared" si="112"/>
        <v>1</v>
      </c>
      <c r="P36" s="14" t="s">
        <v>47</v>
      </c>
      <c r="Q36" s="11">
        <f t="shared" ref="Q36:T36" si="113">MOD(Q33+Q34+Q35,2)</f>
        <v>0</v>
      </c>
      <c r="R36" s="11">
        <f t="shared" si="113"/>
        <v>1</v>
      </c>
      <c r="S36" s="11">
        <f t="shared" si="113"/>
        <v>0</v>
      </c>
      <c r="T36" s="11">
        <f t="shared" si="113"/>
        <v>0</v>
      </c>
      <c r="U36" s="14" t="s">
        <v>47</v>
      </c>
      <c r="V36" s="11">
        <f t="shared" ref="V36:W36" si="114">MOD(V33+V34+V35,2)</f>
        <v>1</v>
      </c>
      <c r="W36" s="11">
        <f t="shared" si="114"/>
        <v>0</v>
      </c>
      <c r="X36" s="11">
        <f>MOD(X33+X34+X35,2)</f>
        <v>1</v>
      </c>
      <c r="Y36" s="12">
        <f>MOD(Y34+Y35,2)</f>
        <v>0</v>
      </c>
      <c r="AB36" s="23" t="s">
        <v>59</v>
      </c>
      <c r="AC36" s="2" t="s">
        <v>86</v>
      </c>
      <c r="AD36" s="21">
        <f>G12</f>
        <v>1</v>
      </c>
      <c r="AE36" s="21">
        <f t="shared" si="110"/>
        <v>0</v>
      </c>
      <c r="AF36" s="21">
        <f t="shared" si="110"/>
        <v>0</v>
      </c>
      <c r="AG36" s="21">
        <f t="shared" si="110"/>
        <v>0</v>
      </c>
      <c r="AH36" s="21" t="str">
        <f t="shared" si="110"/>
        <v>.</v>
      </c>
      <c r="AI36" s="21">
        <f t="shared" si="110"/>
        <v>1</v>
      </c>
      <c r="AJ36" s="21">
        <f t="shared" si="110"/>
        <v>1</v>
      </c>
      <c r="AK36" s="21">
        <f t="shared" si="110"/>
        <v>1</v>
      </c>
      <c r="AL36" s="21">
        <f t="shared" si="110"/>
        <v>0</v>
      </c>
      <c r="AM36" s="21" t="str">
        <f t="shared" si="110"/>
        <v>.</v>
      </c>
      <c r="AN36" s="21">
        <f t="shared" si="110"/>
        <v>0</v>
      </c>
      <c r="AO36" s="21">
        <f t="shared" si="110"/>
        <v>1</v>
      </c>
      <c r="AP36" s="21">
        <f t="shared" si="110"/>
        <v>0</v>
      </c>
      <c r="AQ36" s="21">
        <f t="shared" si="110"/>
        <v>1</v>
      </c>
      <c r="AR36" s="21" t="str">
        <f t="shared" si="110"/>
        <v>.</v>
      </c>
      <c r="AS36" s="21">
        <f t="shared" si="110"/>
        <v>1</v>
      </c>
      <c r="AT36" s="21">
        <f t="shared" si="110"/>
        <v>1</v>
      </c>
      <c r="AU36" s="21">
        <f t="shared" si="110"/>
        <v>0</v>
      </c>
      <c r="AV36" s="21">
        <f t="shared" si="110"/>
        <v>0</v>
      </c>
      <c r="AW36" s="2"/>
      <c r="AX36" s="2"/>
      <c r="AY36" s="2"/>
      <c r="AZ36" s="2"/>
      <c r="BA36" s="21" t="s">
        <v>59</v>
      </c>
      <c r="BB36" s="21" t="s">
        <v>87</v>
      </c>
      <c r="BC36" s="3">
        <f>C12</f>
        <v>-29092</v>
      </c>
      <c r="BD36" s="9"/>
      <c r="BE36" s="36" t="str">
        <f>IF(AX38=BC38,"Результат выполнения операции верный и корректный, совпадает с суммой десятичных эквивалентов.","Результат операции не совпадает с суммой десятичных эквивалентов, так как произошло переполнение.")</f>
        <v>Результат операции не совпадает с суммой десятичных эквивалентов, так как произошло переполнение.</v>
      </c>
    </row>
    <row r="37" spans="5:57" x14ac:dyDescent="0.25"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AB37" s="8"/>
      <c r="AC37" s="2" t="s">
        <v>62</v>
      </c>
      <c r="AD37" s="2" t="s">
        <v>63</v>
      </c>
      <c r="AE37" s="2" t="s">
        <v>63</v>
      </c>
      <c r="AF37" s="2" t="s">
        <v>63</v>
      </c>
      <c r="AG37" s="2" t="s">
        <v>63</v>
      </c>
      <c r="AH37" s="2" t="s">
        <v>63</v>
      </c>
      <c r="AI37" s="2" t="s">
        <v>63</v>
      </c>
      <c r="AJ37" s="2" t="s">
        <v>63</v>
      </c>
      <c r="AK37" s="2" t="s">
        <v>63</v>
      </c>
      <c r="AL37" s="2" t="s">
        <v>63</v>
      </c>
      <c r="AM37" s="2" t="s">
        <v>63</v>
      </c>
      <c r="AN37" s="2" t="s">
        <v>63</v>
      </c>
      <c r="AO37" s="2" t="s">
        <v>63</v>
      </c>
      <c r="AP37" s="2" t="s">
        <v>63</v>
      </c>
      <c r="AQ37" s="2" t="s">
        <v>63</v>
      </c>
      <c r="AR37" s="2" t="s">
        <v>63</v>
      </c>
      <c r="AS37" s="2" t="s">
        <v>63</v>
      </c>
      <c r="AT37" s="2" t="s">
        <v>63</v>
      </c>
      <c r="AU37" s="2" t="s">
        <v>63</v>
      </c>
      <c r="AV37" s="2" t="s">
        <v>63</v>
      </c>
      <c r="AW37" s="2"/>
      <c r="AX37" s="21"/>
      <c r="AY37" s="2"/>
      <c r="AZ37" s="2"/>
      <c r="BA37" s="21" t="s">
        <v>63</v>
      </c>
      <c r="BB37" s="21" t="s">
        <v>64</v>
      </c>
      <c r="BC37" s="21" t="s">
        <v>65</v>
      </c>
      <c r="BD37" s="9"/>
      <c r="BE37" s="33"/>
    </row>
    <row r="38" spans="5:57" x14ac:dyDescent="0.25">
      <c r="E38" s="30" t="s">
        <v>36</v>
      </c>
      <c r="F38" s="16" t="s">
        <v>48</v>
      </c>
      <c r="G38" s="6">
        <f t="shared" ref="G38" si="115">IF(OR(H38+H39+H40=3,H38+H39+H40=2),1,0)</f>
        <v>0</v>
      </c>
      <c r="H38" s="6">
        <f t="shared" ref="H38" si="116">IF(OR(I38+I39+I40=3,I38+I39+I40=2),1,0)</f>
        <v>0</v>
      </c>
      <c r="I38" s="6">
        <f>IF(OR(J38+J39+J40=3,J38+J39+J40=2),1,0)</f>
        <v>0</v>
      </c>
      <c r="J38" s="6">
        <f>IF(OR(L38+L38+L40=3,L38+L39+L40=2),1,0)</f>
        <v>0</v>
      </c>
      <c r="K38" s="37" t="s">
        <v>47</v>
      </c>
      <c r="L38" s="6">
        <f t="shared" ref="L38" si="117">IF(OR(M38+M39+M40=3,M38+M39+M40=2),1,0)</f>
        <v>0</v>
      </c>
      <c r="M38" s="6">
        <f t="shared" ref="M38" si="118">IF(OR(N38+N39+N40=3,N38+N39+N40=2),1,0)</f>
        <v>0</v>
      </c>
      <c r="N38" s="6">
        <f>IF(OR(O38+O39+O40=3,O38+O39+O40=2),1,0)</f>
        <v>0</v>
      </c>
      <c r="O38" s="6">
        <f>IF(OR(Q38+Q38+Q40=3,Q38+Q39+Q40=2),1,0)</f>
        <v>0</v>
      </c>
      <c r="P38" s="37" t="s">
        <v>47</v>
      </c>
      <c r="Q38" s="6">
        <f t="shared" ref="Q38" si="119">IF(OR(R38+R39+R40=3,R38+R39+R40=2),1,0)</f>
        <v>1</v>
      </c>
      <c r="R38" s="6">
        <f t="shared" ref="R38" si="120">IF(OR(S38+S39+S40=3,S38+S39+S40=2),1,0)</f>
        <v>1</v>
      </c>
      <c r="S38" s="6">
        <f>IF(OR(T38+T39+T40=3,T38+T39+T40=2),1,0)</f>
        <v>1</v>
      </c>
      <c r="T38" s="6">
        <f>IF(OR(V38+V38+V40=3,V38+V39+V40=2),1,0)</f>
        <v>1</v>
      </c>
      <c r="U38" s="37" t="s">
        <v>47</v>
      </c>
      <c r="V38" s="6">
        <f>IF(OR(W38+W39+W40=3,W38+W39+W40=2),1,0)</f>
        <v>1</v>
      </c>
      <c r="W38" s="6">
        <f>IF(OR(X38+X39+X40=3,X38+X39+X40=2),1,0)</f>
        <v>1</v>
      </c>
      <c r="X38" s="6">
        <f>IF(Y39+Y40=2,1,0)</f>
        <v>1</v>
      </c>
      <c r="Y38" s="38" t="s">
        <v>47</v>
      </c>
      <c r="AB38" s="8"/>
      <c r="AC38" s="2"/>
      <c r="AD38" s="2">
        <f t="shared" ref="AD38:AF38" si="121">MOD(AD34+AD35+AD36,2)</f>
        <v>0</v>
      </c>
      <c r="AE38" s="2">
        <f t="shared" si="121"/>
        <v>0</v>
      </c>
      <c r="AF38" s="2">
        <f t="shared" si="121"/>
        <v>0</v>
      </c>
      <c r="AG38" s="2">
        <f>MOD(AG34+AG35+AG36,2)</f>
        <v>1</v>
      </c>
      <c r="AH38" s="2"/>
      <c r="AI38" s="2">
        <f t="shared" ref="AI38:AK38" si="122">MOD(AI34+AI35+AI36,2)</f>
        <v>1</v>
      </c>
      <c r="AJ38" s="2">
        <f t="shared" si="122"/>
        <v>1</v>
      </c>
      <c r="AK38" s="2">
        <f t="shared" si="122"/>
        <v>1</v>
      </c>
      <c r="AL38" s="2">
        <f>MOD(AL34+AL35+AL36,2)</f>
        <v>1</v>
      </c>
      <c r="AM38" s="2"/>
      <c r="AN38" s="2">
        <f t="shared" ref="AN38:AP38" si="123">MOD(AN34+AN35+AN36,2)</f>
        <v>0</v>
      </c>
      <c r="AO38" s="2">
        <f t="shared" si="123"/>
        <v>1</v>
      </c>
      <c r="AP38" s="2">
        <f t="shared" si="123"/>
        <v>0</v>
      </c>
      <c r="AQ38" s="2">
        <f>MOD(AQ34+AQ35+AQ36,2)</f>
        <v>0</v>
      </c>
      <c r="AR38" s="2"/>
      <c r="AS38" s="2">
        <f>MOD(AS34+AS35+AS36,2)</f>
        <v>1</v>
      </c>
      <c r="AT38" s="2">
        <f t="shared" ref="AT38:AU38" si="124">MOD(AT34+AT35+AT36,2)</f>
        <v>0</v>
      </c>
      <c r="AU38" s="2">
        <f t="shared" si="124"/>
        <v>1</v>
      </c>
      <c r="AV38" s="2">
        <f>MOD(AV35+AV36,2)</f>
        <v>0</v>
      </c>
      <c r="AW38" s="24" t="s">
        <v>66</v>
      </c>
      <c r="AX38" s="21">
        <f>IF(AD38=1,-(32768-(AV38+2*AU38+4*AT38+8*AS38+16*AQ38+32*AP38+64*AO38+128*AN38+256*AL38+512*AK38+1024*AJ38+2048*AI38+4096*AG38+8192*AF38+16384*AE38)),AV38+2*AU38+4*AT38+8*AS38+16*AQ38+32*AP38+64*AO38+128*AN38+256*AL38+512*AK38+1024*AJ38+2048*AI38+4096*AG38+8192*AF38+16384*AE38)</f>
        <v>8010</v>
      </c>
      <c r="AY38" s="2" t="s">
        <v>67</v>
      </c>
      <c r="AZ38" s="2"/>
      <c r="BA38" s="21"/>
      <c r="BB38" s="21"/>
      <c r="BC38" s="3">
        <f>BC35+BC36</f>
        <v>-57526</v>
      </c>
      <c r="BD38" s="9" t="s">
        <v>67</v>
      </c>
      <c r="BE38" s="33"/>
    </row>
    <row r="39" spans="5:57" x14ac:dyDescent="0.25">
      <c r="E39" s="30"/>
      <c r="F39" s="16" t="s">
        <v>49</v>
      </c>
      <c r="G39" s="2">
        <f>IF(G8=1,0,1)</f>
        <v>1</v>
      </c>
      <c r="H39" s="2">
        <f t="shared" ref="H39:Y39" si="125">IF(H8=1,0,1)</f>
        <v>0</v>
      </c>
      <c r="I39" s="2">
        <f t="shared" si="125"/>
        <v>0</v>
      </c>
      <c r="J39" s="2">
        <f t="shared" si="125"/>
        <v>1</v>
      </c>
      <c r="K39" s="13" t="s">
        <v>47</v>
      </c>
      <c r="L39" s="2">
        <f t="shared" si="125"/>
        <v>0</v>
      </c>
      <c r="M39" s="2">
        <f t="shared" si="125"/>
        <v>0</v>
      </c>
      <c r="N39" s="2">
        <f t="shared" si="125"/>
        <v>1</v>
      </c>
      <c r="O39" s="2">
        <f t="shared" si="125"/>
        <v>1</v>
      </c>
      <c r="P39" s="13" t="s">
        <v>47</v>
      </c>
      <c r="Q39" s="2">
        <f t="shared" si="125"/>
        <v>0</v>
      </c>
      <c r="R39" s="2">
        <f t="shared" si="125"/>
        <v>1</v>
      </c>
      <c r="S39" s="2">
        <f t="shared" si="125"/>
        <v>1</v>
      </c>
      <c r="T39" s="2">
        <f t="shared" si="125"/>
        <v>1</v>
      </c>
      <c r="U39" s="13" t="s">
        <v>47</v>
      </c>
      <c r="V39" s="2">
        <f t="shared" si="125"/>
        <v>1</v>
      </c>
      <c r="W39" s="2">
        <f t="shared" si="125"/>
        <v>1</v>
      </c>
      <c r="X39" s="2">
        <f t="shared" si="125"/>
        <v>1</v>
      </c>
      <c r="Y39" s="9">
        <f t="shared" si="125"/>
        <v>1</v>
      </c>
      <c r="AB39" s="8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9"/>
      <c r="BE39" s="33"/>
    </row>
    <row r="40" spans="5:57" x14ac:dyDescent="0.25">
      <c r="E40" s="30"/>
      <c r="F40" s="16" t="s">
        <v>50</v>
      </c>
      <c r="G40" s="2">
        <v>0</v>
      </c>
      <c r="H40" s="2">
        <v>0</v>
      </c>
      <c r="I40" s="2">
        <v>0</v>
      </c>
      <c r="J40" s="2">
        <v>0</v>
      </c>
      <c r="K40" s="13" t="s">
        <v>47</v>
      </c>
      <c r="L40" s="2">
        <v>0</v>
      </c>
      <c r="M40" s="2">
        <v>0</v>
      </c>
      <c r="N40" s="2">
        <v>0</v>
      </c>
      <c r="O40" s="2">
        <v>0</v>
      </c>
      <c r="P40" s="13" t="s">
        <v>47</v>
      </c>
      <c r="Q40" s="2">
        <v>0</v>
      </c>
      <c r="R40" s="2">
        <v>0</v>
      </c>
      <c r="S40" s="2">
        <v>0</v>
      </c>
      <c r="T40" s="2">
        <v>0</v>
      </c>
      <c r="U40" s="13" t="s">
        <v>47</v>
      </c>
      <c r="V40" s="2">
        <v>0</v>
      </c>
      <c r="W40" s="2">
        <v>0</v>
      </c>
      <c r="X40" s="2">
        <v>0</v>
      </c>
      <c r="Y40" s="9">
        <v>1</v>
      </c>
      <c r="AB40" s="10"/>
      <c r="AC40" s="11"/>
      <c r="AD40" s="31" t="s">
        <v>68</v>
      </c>
      <c r="AE40" s="31"/>
      <c r="AF40" s="11">
        <f>IF(AD34+AD35+AD36&gt;1,1,0)</f>
        <v>1</v>
      </c>
      <c r="AG40" s="11"/>
      <c r="AH40" s="31" t="s">
        <v>69</v>
      </c>
      <c r="AI40" s="31"/>
      <c r="AJ40" s="11">
        <f>IF(MOD(AN38+AO38+AP38+AQ38+AS38+AT38+AU38+AV38,2)=0,1,0)</f>
        <v>0</v>
      </c>
      <c r="AK40" s="11"/>
      <c r="AL40" s="31" t="s">
        <v>70</v>
      </c>
      <c r="AM40" s="31"/>
      <c r="AN40" s="11">
        <f>AQ34</f>
        <v>1</v>
      </c>
      <c r="AO40" s="11"/>
      <c r="AP40" s="31" t="s">
        <v>71</v>
      </c>
      <c r="AQ40" s="31"/>
      <c r="AR40" s="11">
        <f>IF(AX38=0,1,0)</f>
        <v>0</v>
      </c>
      <c r="AS40" s="11"/>
      <c r="AT40" s="11"/>
      <c r="AU40" s="31" t="s">
        <v>72</v>
      </c>
      <c r="AV40" s="31"/>
      <c r="AW40" s="25">
        <f>AD38</f>
        <v>0</v>
      </c>
      <c r="AX40" s="26" t="s">
        <v>73</v>
      </c>
      <c r="AY40" s="25">
        <f>IF(AND(AD35=AD36, AD36&lt;&gt;AD38),1,0)</f>
        <v>1</v>
      </c>
      <c r="AZ40" s="11"/>
      <c r="BA40" s="11"/>
      <c r="BB40" s="11"/>
      <c r="BC40" s="11"/>
      <c r="BD40" s="12"/>
      <c r="BE40" s="33"/>
    </row>
    <row r="41" spans="5:57" x14ac:dyDescent="0.25">
      <c r="E41" s="30"/>
      <c r="F41" s="17" t="s">
        <v>55</v>
      </c>
      <c r="G41" s="11">
        <f t="shared" ref="G41:J41" si="126">MOD(G38+G39+G40,2)</f>
        <v>1</v>
      </c>
      <c r="H41" s="11">
        <f t="shared" si="126"/>
        <v>0</v>
      </c>
      <c r="I41" s="11">
        <f t="shared" si="126"/>
        <v>0</v>
      </c>
      <c r="J41" s="11">
        <f t="shared" si="126"/>
        <v>1</v>
      </c>
      <c r="K41" s="14" t="s">
        <v>47</v>
      </c>
      <c r="L41" s="11">
        <f t="shared" ref="L41:O41" si="127">MOD(L38+L39+L40,2)</f>
        <v>0</v>
      </c>
      <c r="M41" s="11">
        <f t="shared" si="127"/>
        <v>0</v>
      </c>
      <c r="N41" s="11">
        <f t="shared" si="127"/>
        <v>1</v>
      </c>
      <c r="O41" s="11">
        <f t="shared" si="127"/>
        <v>1</v>
      </c>
      <c r="P41" s="14" t="s">
        <v>47</v>
      </c>
      <c r="Q41" s="11">
        <f t="shared" ref="Q41:T41" si="128">MOD(Q38+Q39+Q40,2)</f>
        <v>1</v>
      </c>
      <c r="R41" s="11">
        <f t="shared" si="128"/>
        <v>0</v>
      </c>
      <c r="S41" s="11">
        <f t="shared" si="128"/>
        <v>0</v>
      </c>
      <c r="T41" s="11">
        <f t="shared" si="128"/>
        <v>0</v>
      </c>
      <c r="U41" s="14" t="s">
        <v>47</v>
      </c>
      <c r="V41" s="11">
        <f t="shared" ref="V41:W41" si="129">MOD(V38+V39+V40,2)</f>
        <v>0</v>
      </c>
      <c r="W41" s="11">
        <f t="shared" si="129"/>
        <v>0</v>
      </c>
      <c r="X41" s="11">
        <f>MOD(X38+X39+X40,2)</f>
        <v>0</v>
      </c>
      <c r="Y41" s="12">
        <f>MOD(Y39+Y40,2)</f>
        <v>0</v>
      </c>
      <c r="BE41" s="33"/>
    </row>
    <row r="42" spans="5:57" x14ac:dyDescent="0.25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AB42" s="5"/>
      <c r="AC42" s="6" t="s">
        <v>48</v>
      </c>
      <c r="AD42" s="22">
        <f t="shared" ref="AD42:AE42" si="130">IF(OR(AE42+AE43+AE44=3,AE42+AE43+AE44=2),1,0)</f>
        <v>0</v>
      </c>
      <c r="AE42" s="22">
        <f t="shared" si="130"/>
        <v>0</v>
      </c>
      <c r="AF42" s="22">
        <f>IF(OR(AG42+AG43+AG44=3,AG42+AG43+AG44=2),1,0)</f>
        <v>0</v>
      </c>
      <c r="AG42" s="22">
        <f>IF(OR(AI42+AI43+AI44=3,AI42+AI43+AI44=2),1,0)</f>
        <v>0</v>
      </c>
      <c r="AH42" s="22"/>
      <c r="AI42" s="22">
        <f t="shared" ref="AI42:AJ42" si="131">IF(OR(AJ42+AJ43+AJ44=3,AJ42+AJ43+AJ44=2),1,0)</f>
        <v>0</v>
      </c>
      <c r="AJ42" s="22">
        <f t="shared" si="131"/>
        <v>0</v>
      </c>
      <c r="AK42" s="22">
        <f>IF(OR(AL42+AL43+AL44=3,AL42+AL43+AL44=2),1,0)</f>
        <v>0</v>
      </c>
      <c r="AL42" s="22">
        <f>IF(OR(AN42+AN43+AN44=3,AN42+AN43+AN44=2),1,0)</f>
        <v>1</v>
      </c>
      <c r="AM42" s="22"/>
      <c r="AN42" s="22">
        <f t="shared" ref="AN42:AO42" si="132">IF(OR(AO42+AO43+AO44=3,AO42+AO43+AO44=2),1,0)</f>
        <v>1</v>
      </c>
      <c r="AO42" s="22">
        <f t="shared" si="132"/>
        <v>1</v>
      </c>
      <c r="AP42" s="22">
        <f>IF(OR(AQ42+AQ43+AQ44=3,AQ42+AQ43+AQ44=2),1,0)</f>
        <v>1</v>
      </c>
      <c r="AQ42" s="22">
        <f>IF(OR(AS42+AS43+AS44=3,AS42+AS43+AS44=2),1,0)</f>
        <v>1</v>
      </c>
      <c r="AR42" s="22"/>
      <c r="AS42" s="22">
        <f>IF(OR(AT42+AT43+AT44=3,AT42+AT43+AT44=2),1,0)</f>
        <v>1</v>
      </c>
      <c r="AT42" s="22">
        <f>IF(OR(AU42+AU43+AU44=3,AU42+AU43+AU44=2),1,0)</f>
        <v>1</v>
      </c>
      <c r="AU42" s="22">
        <f>IF(AV43+AV44=2,1,0)</f>
        <v>0</v>
      </c>
      <c r="AV42" s="22"/>
      <c r="AW42" s="6"/>
      <c r="AX42" s="6"/>
      <c r="AY42" s="6"/>
      <c r="AZ42" s="6"/>
      <c r="BA42" s="6"/>
      <c r="BB42" s="6"/>
      <c r="BC42" s="6"/>
      <c r="BD42" s="7"/>
      <c r="BE42" s="34" t="str">
        <f>IF(AND(AD43=0,AD44=0),"При сложении двух положительных",IF(AND(AD43=1,AD44=1),"При сложении двух отрицательных","При сложении положительного и отрицательного"))</f>
        <v>При сложении положительного и отрицательного</v>
      </c>
    </row>
    <row r="43" spans="5:57" x14ac:dyDescent="0.25">
      <c r="E43" s="30" t="s">
        <v>40</v>
      </c>
      <c r="F43" s="16" t="s">
        <v>48</v>
      </c>
      <c r="G43" s="6">
        <f t="shared" ref="G43" si="133">IF(OR(H43+H44+H45=3,H43+H44+H45=2),1,0)</f>
        <v>0</v>
      </c>
      <c r="H43" s="6">
        <f t="shared" ref="H43" si="134">IF(OR(I43+I44+I45=3,I43+I44+I45=2),1,0)</f>
        <v>0</v>
      </c>
      <c r="I43" s="6">
        <f>IF(OR(J43+J44+J45=3,J43+J44+J45=2),1,0)</f>
        <v>0</v>
      </c>
      <c r="J43" s="6">
        <f>IF(OR(L43+L43+L45=3,L43+L44+L45=2),1,0)</f>
        <v>0</v>
      </c>
      <c r="K43" s="37" t="s">
        <v>47</v>
      </c>
      <c r="L43" s="6">
        <f t="shared" ref="L43" si="135">IF(OR(M43+M44+M45=3,M43+M44+M45=2),1,0)</f>
        <v>0</v>
      </c>
      <c r="M43" s="6">
        <f t="shared" ref="M43" si="136">IF(OR(N43+N44+N45=3,N43+N44+N45=2),1,0)</f>
        <v>0</v>
      </c>
      <c r="N43" s="6">
        <f>IF(OR(O43+O44+O45=3,O43+O44+O45=2),1,0)</f>
        <v>0</v>
      </c>
      <c r="O43" s="6">
        <f>IF(OR(Q43+Q43+Q45=3,Q43+Q44+Q45=2),1,0)</f>
        <v>0</v>
      </c>
      <c r="P43" s="37" t="s">
        <v>47</v>
      </c>
      <c r="Q43" s="6">
        <f t="shared" ref="Q43" si="137">IF(OR(R43+R44+R45=3,R43+R44+R45=2),1,0)</f>
        <v>0</v>
      </c>
      <c r="R43" s="6">
        <f t="shared" ref="R43" si="138">IF(OR(S43+S44+S45=3,S43+S44+S45=2),1,0)</f>
        <v>0</v>
      </c>
      <c r="S43" s="6">
        <f>IF(OR(T43+T44+T45=3,T43+T44+T45=2),1,0)</f>
        <v>0</v>
      </c>
      <c r="T43" s="6">
        <f>IF(OR(V43+V43+V45=3,V43+V44+V45=2),1,0)</f>
        <v>0</v>
      </c>
      <c r="U43" s="37" t="s">
        <v>47</v>
      </c>
      <c r="V43" s="6">
        <f>IF(OR(W43+W44+W45=3,W43+W44+W45=2),1,0)</f>
        <v>0</v>
      </c>
      <c r="W43" s="6">
        <f>IF(OR(X43+X44+X45=3,X43+X44+X45=2),1,0)</f>
        <v>0</v>
      </c>
      <c r="X43" s="6">
        <f>IF(Y44+Y45=2,1,0)</f>
        <v>1</v>
      </c>
      <c r="Y43" s="38" t="s">
        <v>47</v>
      </c>
      <c r="AB43" s="8"/>
      <c r="AC43" s="2" t="s">
        <v>57</v>
      </c>
      <c r="AD43" s="21">
        <f>G4</f>
        <v>0</v>
      </c>
      <c r="AE43" s="21">
        <f t="shared" ref="AE43:AV43" si="139">H4</f>
        <v>0</v>
      </c>
      <c r="AF43" s="21">
        <f t="shared" si="139"/>
        <v>0</v>
      </c>
      <c r="AG43" s="21">
        <f t="shared" si="139"/>
        <v>0</v>
      </c>
      <c r="AH43" s="21" t="str">
        <f t="shared" si="139"/>
        <v>.</v>
      </c>
      <c r="AI43" s="21">
        <f t="shared" si="139"/>
        <v>0</v>
      </c>
      <c r="AJ43" s="21">
        <f t="shared" si="139"/>
        <v>0</v>
      </c>
      <c r="AK43" s="21">
        <f t="shared" si="139"/>
        <v>1</v>
      </c>
      <c r="AL43" s="21">
        <f t="shared" si="139"/>
        <v>0</v>
      </c>
      <c r="AM43" s="21" t="str">
        <f t="shared" si="139"/>
        <v>.</v>
      </c>
      <c r="AN43" s="21">
        <f t="shared" si="139"/>
        <v>1</v>
      </c>
      <c r="AO43" s="21">
        <f t="shared" si="139"/>
        <v>0</v>
      </c>
      <c r="AP43" s="21">
        <f t="shared" si="139"/>
        <v>0</v>
      </c>
      <c r="AQ43" s="21">
        <f t="shared" si="139"/>
        <v>1</v>
      </c>
      <c r="AR43" s="21" t="str">
        <f t="shared" si="139"/>
        <v>.</v>
      </c>
      <c r="AS43" s="21">
        <f t="shared" si="139"/>
        <v>0</v>
      </c>
      <c r="AT43" s="21">
        <f t="shared" si="139"/>
        <v>0</v>
      </c>
      <c r="AU43" s="21">
        <f t="shared" si="139"/>
        <v>1</v>
      </c>
      <c r="AV43" s="21">
        <f t="shared" si="139"/>
        <v>0</v>
      </c>
      <c r="AW43" s="2"/>
      <c r="AX43" s="2"/>
      <c r="AY43" s="2"/>
      <c r="AZ43" s="2"/>
      <c r="BA43" s="21"/>
      <c r="BB43" s="21" t="s">
        <v>58</v>
      </c>
      <c r="BC43" s="3">
        <f>C4</f>
        <v>658</v>
      </c>
      <c r="BD43" s="9"/>
      <c r="BE43" s="35" t="str">
        <f>IF(AD46=0,"слагаемых получено положительное число.","слагаемых получено отрицательное число.")</f>
        <v>слагаемых получено отрицательное число.</v>
      </c>
    </row>
    <row r="44" spans="5:57" x14ac:dyDescent="0.25">
      <c r="E44" s="30"/>
      <c r="F44" s="16" t="s">
        <v>49</v>
      </c>
      <c r="G44" s="2">
        <f>IF(G9=1,0,1)</f>
        <v>1</v>
      </c>
      <c r="H44" s="2">
        <f t="shared" ref="H44:Y44" si="140">IF(H9=1,0,1)</f>
        <v>1</v>
      </c>
      <c r="I44" s="2">
        <f t="shared" si="140"/>
        <v>1</v>
      </c>
      <c r="J44" s="2">
        <f t="shared" si="140"/>
        <v>0</v>
      </c>
      <c r="K44" s="13" t="s">
        <v>47</v>
      </c>
      <c r="L44" s="2">
        <f t="shared" si="140"/>
        <v>0</v>
      </c>
      <c r="M44" s="2">
        <f t="shared" si="140"/>
        <v>0</v>
      </c>
      <c r="N44" s="2">
        <f t="shared" si="140"/>
        <v>0</v>
      </c>
      <c r="O44" s="2">
        <f t="shared" si="140"/>
        <v>0</v>
      </c>
      <c r="P44" s="13" t="s">
        <v>47</v>
      </c>
      <c r="Q44" s="2">
        <f t="shared" si="140"/>
        <v>1</v>
      </c>
      <c r="R44" s="2">
        <f t="shared" si="140"/>
        <v>0</v>
      </c>
      <c r="S44" s="2">
        <f t="shared" si="140"/>
        <v>1</v>
      </c>
      <c r="T44" s="2">
        <f t="shared" si="140"/>
        <v>1</v>
      </c>
      <c r="U44" s="13" t="s">
        <v>47</v>
      </c>
      <c r="V44" s="2">
        <f t="shared" si="140"/>
        <v>0</v>
      </c>
      <c r="W44" s="2">
        <f t="shared" si="140"/>
        <v>1</v>
      </c>
      <c r="X44" s="2">
        <f t="shared" si="140"/>
        <v>0</v>
      </c>
      <c r="Y44" s="9">
        <f t="shared" si="140"/>
        <v>1</v>
      </c>
      <c r="AB44" s="23" t="s">
        <v>59</v>
      </c>
      <c r="AC44" s="2" t="s">
        <v>82</v>
      </c>
      <c r="AD44" s="21">
        <f>G11</f>
        <v>1</v>
      </c>
      <c r="AE44" s="21">
        <f t="shared" ref="AE44:AV44" si="141">H11</f>
        <v>0</v>
      </c>
      <c r="AF44" s="21">
        <f t="shared" si="141"/>
        <v>0</v>
      </c>
      <c r="AG44" s="21">
        <f t="shared" si="141"/>
        <v>1</v>
      </c>
      <c r="AH44" s="21" t="str">
        <f t="shared" si="141"/>
        <v>.</v>
      </c>
      <c r="AI44" s="21">
        <f t="shared" si="141"/>
        <v>0</v>
      </c>
      <c r="AJ44" s="21">
        <f t="shared" si="141"/>
        <v>0</v>
      </c>
      <c r="AK44" s="21">
        <f t="shared" si="141"/>
        <v>0</v>
      </c>
      <c r="AL44" s="21">
        <f t="shared" si="141"/>
        <v>0</v>
      </c>
      <c r="AM44" s="21" t="str">
        <f t="shared" si="141"/>
        <v>.</v>
      </c>
      <c r="AN44" s="21">
        <f t="shared" si="141"/>
        <v>1</v>
      </c>
      <c r="AO44" s="21">
        <f t="shared" si="141"/>
        <v>1</v>
      </c>
      <c r="AP44" s="21">
        <f t="shared" si="141"/>
        <v>1</v>
      </c>
      <c r="AQ44" s="21">
        <f t="shared" si="141"/>
        <v>0</v>
      </c>
      <c r="AR44" s="21" t="str">
        <f t="shared" si="141"/>
        <v>.</v>
      </c>
      <c r="AS44" s="21">
        <f t="shared" si="141"/>
        <v>1</v>
      </c>
      <c r="AT44" s="21">
        <f t="shared" si="141"/>
        <v>1</v>
      </c>
      <c r="AU44" s="21">
        <f t="shared" si="141"/>
        <v>1</v>
      </c>
      <c r="AV44" s="21">
        <f t="shared" si="141"/>
        <v>0</v>
      </c>
      <c r="AW44" s="2"/>
      <c r="AX44" s="2"/>
      <c r="AY44" s="2"/>
      <c r="AZ44" s="2"/>
      <c r="BA44" s="21" t="s">
        <v>59</v>
      </c>
      <c r="BB44" s="21" t="s">
        <v>83</v>
      </c>
      <c r="BC44" s="3">
        <f>C11</f>
        <v>-28434</v>
      </c>
      <c r="BD44" s="9"/>
      <c r="BE44" s="36" t="str">
        <f>IF(AX46=BC46,"Результат выполнения операции верный и корректный, совпадает с суммой десятичных эквивалентов.","Результат операции не совпадает с суммой десятичных эквивалентов, так как произошло переполнение.")</f>
        <v>Результат выполнения операции верный и корректный, совпадает с суммой десятичных эквивалентов.</v>
      </c>
    </row>
    <row r="45" spans="5:57" x14ac:dyDescent="0.25">
      <c r="E45" s="30"/>
      <c r="F45" s="16" t="s">
        <v>50</v>
      </c>
      <c r="G45" s="2">
        <v>0</v>
      </c>
      <c r="H45" s="2">
        <v>0</v>
      </c>
      <c r="I45" s="2">
        <v>0</v>
      </c>
      <c r="J45" s="2">
        <v>0</v>
      </c>
      <c r="K45" s="13" t="s">
        <v>47</v>
      </c>
      <c r="L45" s="2">
        <v>0</v>
      </c>
      <c r="M45" s="2">
        <v>0</v>
      </c>
      <c r="N45" s="2">
        <v>0</v>
      </c>
      <c r="O45" s="2">
        <v>0</v>
      </c>
      <c r="P45" s="13" t="s">
        <v>47</v>
      </c>
      <c r="Q45" s="2">
        <v>0</v>
      </c>
      <c r="R45" s="2">
        <v>0</v>
      </c>
      <c r="S45" s="2">
        <v>0</v>
      </c>
      <c r="T45" s="2">
        <v>0</v>
      </c>
      <c r="U45" s="13" t="s">
        <v>47</v>
      </c>
      <c r="V45" s="2">
        <v>0</v>
      </c>
      <c r="W45" s="2">
        <v>0</v>
      </c>
      <c r="X45" s="2">
        <v>0</v>
      </c>
      <c r="Y45" s="9">
        <v>1</v>
      </c>
      <c r="AB45" s="8"/>
      <c r="AC45" s="2" t="s">
        <v>62</v>
      </c>
      <c r="AD45" s="2" t="s">
        <v>63</v>
      </c>
      <c r="AE45" s="2" t="s">
        <v>63</v>
      </c>
      <c r="AF45" s="2" t="s">
        <v>63</v>
      </c>
      <c r="AG45" s="2" t="s">
        <v>63</v>
      </c>
      <c r="AH45" s="2" t="s">
        <v>63</v>
      </c>
      <c r="AI45" s="2" t="s">
        <v>63</v>
      </c>
      <c r="AJ45" s="2" t="s">
        <v>63</v>
      </c>
      <c r="AK45" s="2" t="s">
        <v>63</v>
      </c>
      <c r="AL45" s="2" t="s">
        <v>63</v>
      </c>
      <c r="AM45" s="2" t="s">
        <v>63</v>
      </c>
      <c r="AN45" s="2" t="s">
        <v>63</v>
      </c>
      <c r="AO45" s="2" t="s">
        <v>63</v>
      </c>
      <c r="AP45" s="2" t="s">
        <v>63</v>
      </c>
      <c r="AQ45" s="2" t="s">
        <v>63</v>
      </c>
      <c r="AR45" s="2" t="s">
        <v>63</v>
      </c>
      <c r="AS45" s="2" t="s">
        <v>63</v>
      </c>
      <c r="AT45" s="2" t="s">
        <v>63</v>
      </c>
      <c r="AU45" s="2" t="s">
        <v>63</v>
      </c>
      <c r="AV45" s="2" t="s">
        <v>63</v>
      </c>
      <c r="AW45" s="2"/>
      <c r="AX45" s="21"/>
      <c r="AY45" s="2"/>
      <c r="AZ45" s="2"/>
      <c r="BA45" s="21" t="s">
        <v>63</v>
      </c>
      <c r="BB45" s="21" t="s">
        <v>64</v>
      </c>
      <c r="BC45" s="21" t="s">
        <v>65</v>
      </c>
      <c r="BD45" s="9"/>
      <c r="BE45" s="33"/>
    </row>
    <row r="46" spans="5:57" x14ac:dyDescent="0.25">
      <c r="E46" s="30"/>
      <c r="F46" s="17" t="s">
        <v>56</v>
      </c>
      <c r="G46" s="11">
        <f t="shared" ref="G46:J46" si="142">MOD(G43+G44+G45,2)</f>
        <v>1</v>
      </c>
      <c r="H46" s="11">
        <f t="shared" si="142"/>
        <v>1</v>
      </c>
      <c r="I46" s="11">
        <f t="shared" si="142"/>
        <v>1</v>
      </c>
      <c r="J46" s="11">
        <f t="shared" si="142"/>
        <v>0</v>
      </c>
      <c r="K46" s="14" t="s">
        <v>47</v>
      </c>
      <c r="L46" s="11">
        <f t="shared" ref="L46:O46" si="143">MOD(L43+L44+L45,2)</f>
        <v>0</v>
      </c>
      <c r="M46" s="11">
        <f t="shared" si="143"/>
        <v>0</v>
      </c>
      <c r="N46" s="11">
        <f t="shared" si="143"/>
        <v>0</v>
      </c>
      <c r="O46" s="11">
        <f t="shared" si="143"/>
        <v>0</v>
      </c>
      <c r="P46" s="14" t="s">
        <v>47</v>
      </c>
      <c r="Q46" s="11">
        <f t="shared" ref="Q46:T46" si="144">MOD(Q43+Q44+Q45,2)</f>
        <v>1</v>
      </c>
      <c r="R46" s="11">
        <f t="shared" si="144"/>
        <v>0</v>
      </c>
      <c r="S46" s="11">
        <f t="shared" si="144"/>
        <v>1</v>
      </c>
      <c r="T46" s="11">
        <f t="shared" si="144"/>
        <v>1</v>
      </c>
      <c r="U46" s="14" t="s">
        <v>47</v>
      </c>
      <c r="V46" s="11">
        <f t="shared" ref="V46:W46" si="145">MOD(V43+V44+V45,2)</f>
        <v>0</v>
      </c>
      <c r="W46" s="11">
        <f t="shared" si="145"/>
        <v>1</v>
      </c>
      <c r="X46" s="11">
        <f>MOD(X43+X44+X45,2)</f>
        <v>1</v>
      </c>
      <c r="Y46" s="12">
        <f>MOD(Y44+Y45,2)</f>
        <v>0</v>
      </c>
      <c r="AB46" s="8"/>
      <c r="AC46" s="2"/>
      <c r="AD46" s="2">
        <f t="shared" ref="AD46:AF46" si="146">MOD(AD42+AD43+AD44,2)</f>
        <v>1</v>
      </c>
      <c r="AE46" s="2">
        <f t="shared" si="146"/>
        <v>0</v>
      </c>
      <c r="AF46" s="2">
        <f t="shared" si="146"/>
        <v>0</v>
      </c>
      <c r="AG46" s="2">
        <f>MOD(AG42+AG43+AG44,2)</f>
        <v>1</v>
      </c>
      <c r="AH46" s="2"/>
      <c r="AI46" s="2">
        <f t="shared" ref="AI46:AK46" si="147">MOD(AI42+AI43+AI44,2)</f>
        <v>0</v>
      </c>
      <c r="AJ46" s="2">
        <f t="shared" si="147"/>
        <v>0</v>
      </c>
      <c r="AK46" s="2">
        <f t="shared" si="147"/>
        <v>1</v>
      </c>
      <c r="AL46" s="2">
        <f>MOD(AL42+AL43+AL44,2)</f>
        <v>1</v>
      </c>
      <c r="AM46" s="2"/>
      <c r="AN46" s="2">
        <f t="shared" ref="AN46:AP46" si="148">MOD(AN42+AN43+AN44,2)</f>
        <v>1</v>
      </c>
      <c r="AO46" s="2">
        <f t="shared" si="148"/>
        <v>0</v>
      </c>
      <c r="AP46" s="2">
        <f t="shared" si="148"/>
        <v>0</v>
      </c>
      <c r="AQ46" s="2">
        <f>MOD(AQ42+AQ43+AQ44,2)</f>
        <v>0</v>
      </c>
      <c r="AR46" s="2"/>
      <c r="AS46" s="2">
        <f>MOD(AS42+AS43+AS44,2)</f>
        <v>0</v>
      </c>
      <c r="AT46" s="2">
        <f t="shared" ref="AT46:AU46" si="149">MOD(AT42+AT43+AT44,2)</f>
        <v>0</v>
      </c>
      <c r="AU46" s="2">
        <f t="shared" si="149"/>
        <v>0</v>
      </c>
      <c r="AV46" s="2">
        <f>MOD(AV43+AV44,2)</f>
        <v>0</v>
      </c>
      <c r="AW46" s="24" t="s">
        <v>66</v>
      </c>
      <c r="AX46" s="21">
        <f>IF(AD46=1,-(32768-(AV46+2*AU46+4*AT46+8*AS46+16*AQ46+32*AP46+64*AO46+128*AN46+256*AL46+512*AK46+1024*AJ46+2048*AI46+4096*AG46+8192*AF46+16384*AE46)),AV46+2*AU46+4*AT46+8*AS46+16*AQ46+32*AP46+64*AO46+128*AN46+256*AL46+512*AK46+1024*AJ46+2048*AI46+4096*AG46+8192*AF46+16384*AE46)</f>
        <v>-27776</v>
      </c>
      <c r="AY46" s="2" t="s">
        <v>67</v>
      </c>
      <c r="AZ46" s="2"/>
      <c r="BA46" s="21"/>
      <c r="BB46" s="21"/>
      <c r="BC46" s="3">
        <f>BC43+BC44</f>
        <v>-27776</v>
      </c>
      <c r="BD46" s="9" t="s">
        <v>67</v>
      </c>
      <c r="BE46" s="33"/>
    </row>
    <row r="47" spans="5:57" x14ac:dyDescent="0.25">
      <c r="AB47" s="8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9"/>
      <c r="BE47" s="33"/>
    </row>
    <row r="48" spans="5:57" x14ac:dyDescent="0.25">
      <c r="AB48" s="10"/>
      <c r="AC48" s="11"/>
      <c r="AD48" s="31" t="s">
        <v>68</v>
      </c>
      <c r="AE48" s="31"/>
      <c r="AF48" s="11">
        <f>IF(AD42+AD43+AD44&gt;1,1,0)</f>
        <v>0</v>
      </c>
      <c r="AG48" s="11"/>
      <c r="AH48" s="31" t="s">
        <v>69</v>
      </c>
      <c r="AI48" s="31"/>
      <c r="AJ48" s="11">
        <f>IF(MOD(AN46+AO46+AP46+AQ46+AS46+AT46+AU46+AV46,2)=0,1,0)</f>
        <v>0</v>
      </c>
      <c r="AK48" s="11"/>
      <c r="AL48" s="31" t="s">
        <v>70</v>
      </c>
      <c r="AM48" s="31"/>
      <c r="AN48" s="11">
        <f>AQ42</f>
        <v>1</v>
      </c>
      <c r="AO48" s="11"/>
      <c r="AP48" s="31" t="s">
        <v>71</v>
      </c>
      <c r="AQ48" s="31"/>
      <c r="AR48" s="11">
        <f>IF(AX46=0,1,0)</f>
        <v>0</v>
      </c>
      <c r="AS48" s="11"/>
      <c r="AT48" s="11"/>
      <c r="AU48" s="31" t="s">
        <v>72</v>
      </c>
      <c r="AV48" s="31"/>
      <c r="AW48" s="25">
        <f>AD46</f>
        <v>1</v>
      </c>
      <c r="AX48" s="26" t="s">
        <v>73</v>
      </c>
      <c r="AY48" s="25">
        <f>IF(AND(AD43=AD44, AD44&lt;&gt;AD46),1,0)</f>
        <v>0</v>
      </c>
      <c r="AZ48" s="11"/>
      <c r="BA48" s="11"/>
      <c r="BB48" s="11"/>
      <c r="BC48" s="11"/>
      <c r="BD48" s="12"/>
      <c r="BE48" s="33"/>
    </row>
    <row r="49" spans="28:57" x14ac:dyDescent="0.25">
      <c r="BE49" s="33"/>
    </row>
    <row r="50" spans="28:57" x14ac:dyDescent="0.25">
      <c r="AB50" s="5"/>
      <c r="AC50" s="6" t="s">
        <v>48</v>
      </c>
      <c r="AD50" s="22">
        <f t="shared" ref="AD50:AE50" si="150">IF(OR(AE50+AE51+AE52=3,AE50+AE51+AE52=2),1,0)</f>
        <v>1</v>
      </c>
      <c r="AE50" s="22">
        <f t="shared" si="150"/>
        <v>1</v>
      </c>
      <c r="AF50" s="22">
        <f>IF(OR(AG50+AG51+AG52=3,AG50+AG51+AG52=2),1,0)</f>
        <v>1</v>
      </c>
      <c r="AG50" s="22">
        <f>IF(OR(AI50+AI51+AI52=3,AI50+AI51+AI52=2),1,0)</f>
        <v>0</v>
      </c>
      <c r="AH50" s="22"/>
      <c r="AI50" s="22">
        <f t="shared" ref="AI50:AJ50" si="151">IF(OR(AJ50+AJ51+AJ52=3,AJ50+AJ51+AJ52=2),1,0)</f>
        <v>0</v>
      </c>
      <c r="AJ50" s="22">
        <f t="shared" si="151"/>
        <v>1</v>
      </c>
      <c r="AK50" s="22">
        <f>IF(OR(AL50+AL51+AL52=3,AL50+AL51+AL52=2),1,0)</f>
        <v>1</v>
      </c>
      <c r="AL50" s="22">
        <f>IF(OR(AN50+AN51+AN52=3,AN50+AN51+AN52=2),1,0)</f>
        <v>1</v>
      </c>
      <c r="AM50" s="22"/>
      <c r="AN50" s="22">
        <f t="shared" ref="AN50:AO50" si="152">IF(OR(AO50+AO51+AO52=3,AO50+AO51+AO52=2),1,0)</f>
        <v>0</v>
      </c>
      <c r="AO50" s="22">
        <f t="shared" si="152"/>
        <v>0</v>
      </c>
      <c r="AP50" s="22">
        <f>IF(OR(AQ50+AQ51+AQ52=3,AQ50+AQ51+AQ52=2),1,0)</f>
        <v>0</v>
      </c>
      <c r="AQ50" s="22">
        <f>IF(OR(AS50+AS51+AS52=3,AS50+AS51+AS52=2),1,0)</f>
        <v>0</v>
      </c>
      <c r="AR50" s="22"/>
      <c r="AS50" s="22">
        <f>IF(OR(AT50+AT51+AT52=3,AT50+AT51+AT52=2),1,0)</f>
        <v>0</v>
      </c>
      <c r="AT50" s="22">
        <f>IF(OR(AU50+AU51+AU52=3,AU50+AU51+AU52=2),1,0)</f>
        <v>0</v>
      </c>
      <c r="AU50" s="22">
        <f>IF(AV51+AV52=2,1,0)</f>
        <v>0</v>
      </c>
      <c r="AV50" s="22"/>
      <c r="AW50" s="6"/>
      <c r="AX50" s="6"/>
      <c r="AY50" s="6"/>
      <c r="AZ50" s="6"/>
      <c r="BA50" s="6"/>
      <c r="BB50" s="6"/>
      <c r="BC50" s="6"/>
      <c r="BD50" s="7"/>
      <c r="BE50" s="34" t="str">
        <f>IF(AND(AD51=0,AD52=0),"При сложении двух положительных",IF(AND(AD51=1,AD52=1),"При сложении двух отрицательных","При сложении положительного и отрицательного"))</f>
        <v>При сложении положительного и отрицательного</v>
      </c>
    </row>
    <row r="51" spans="28:57" x14ac:dyDescent="0.25">
      <c r="AB51" s="8"/>
      <c r="AC51" s="2" t="s">
        <v>88</v>
      </c>
      <c r="AD51" s="21">
        <f>G14</f>
        <v>1</v>
      </c>
      <c r="AE51" s="21">
        <f t="shared" ref="AE51:AV51" si="153">H14</f>
        <v>0</v>
      </c>
      <c r="AF51" s="21">
        <f t="shared" si="153"/>
        <v>0</v>
      </c>
      <c r="AG51" s="21">
        <f t="shared" si="153"/>
        <v>1</v>
      </c>
      <c r="AH51" s="21" t="str">
        <f t="shared" si="153"/>
        <v>.</v>
      </c>
      <c r="AI51" s="21">
        <f t="shared" si="153"/>
        <v>0</v>
      </c>
      <c r="AJ51" s="21">
        <f t="shared" si="153"/>
        <v>0</v>
      </c>
      <c r="AK51" s="21">
        <f t="shared" si="153"/>
        <v>1</v>
      </c>
      <c r="AL51" s="21">
        <f t="shared" si="153"/>
        <v>1</v>
      </c>
      <c r="AM51" s="21" t="str">
        <f t="shared" si="153"/>
        <v>.</v>
      </c>
      <c r="AN51" s="21">
        <f t="shared" si="153"/>
        <v>1</v>
      </c>
      <c r="AO51" s="21">
        <f t="shared" si="153"/>
        <v>0</v>
      </c>
      <c r="AP51" s="21">
        <f t="shared" si="153"/>
        <v>0</v>
      </c>
      <c r="AQ51" s="21">
        <f t="shared" si="153"/>
        <v>0</v>
      </c>
      <c r="AR51" s="21" t="str">
        <f t="shared" si="153"/>
        <v>.</v>
      </c>
      <c r="AS51" s="21">
        <f t="shared" si="153"/>
        <v>0</v>
      </c>
      <c r="AT51" s="21">
        <f t="shared" si="153"/>
        <v>0</v>
      </c>
      <c r="AU51" s="21">
        <f t="shared" si="153"/>
        <v>0</v>
      </c>
      <c r="AV51" s="21">
        <f t="shared" si="153"/>
        <v>0</v>
      </c>
      <c r="AW51" s="2"/>
      <c r="AX51" s="2"/>
      <c r="AY51" s="2"/>
      <c r="AZ51" s="2"/>
      <c r="BA51" s="21"/>
      <c r="BB51" s="21" t="s">
        <v>89</v>
      </c>
      <c r="BC51" s="3">
        <f>C14</f>
        <v>-27776</v>
      </c>
      <c r="BD51" s="9"/>
      <c r="BE51" s="35" t="str">
        <f>IF(AD54=0,"слагаемых получено положительное число.","слагаемых получено отрицательное число.")</f>
        <v>слагаемых получено положительное число.</v>
      </c>
    </row>
    <row r="52" spans="28:57" x14ac:dyDescent="0.25">
      <c r="AB52" s="23" t="s">
        <v>59</v>
      </c>
      <c r="AC52" s="2" t="s">
        <v>76</v>
      </c>
      <c r="AD52" s="21">
        <f>G6</f>
        <v>0</v>
      </c>
      <c r="AE52" s="21">
        <f t="shared" ref="AE52:AV52" si="154">H6</f>
        <v>1</v>
      </c>
      <c r="AF52" s="21">
        <f t="shared" si="154"/>
        <v>1</v>
      </c>
      <c r="AG52" s="21">
        <f t="shared" si="154"/>
        <v>1</v>
      </c>
      <c r="AH52" s="21" t="str">
        <f t="shared" si="154"/>
        <v>.</v>
      </c>
      <c r="AI52" s="21">
        <f t="shared" si="154"/>
        <v>0</v>
      </c>
      <c r="AJ52" s="21">
        <f t="shared" si="154"/>
        <v>0</v>
      </c>
      <c r="AK52" s="21">
        <f t="shared" si="154"/>
        <v>0</v>
      </c>
      <c r="AL52" s="21">
        <f t="shared" si="154"/>
        <v>1</v>
      </c>
      <c r="AM52" s="21" t="str">
        <f t="shared" si="154"/>
        <v>.</v>
      </c>
      <c r="AN52" s="21">
        <f t="shared" si="154"/>
        <v>1</v>
      </c>
      <c r="AO52" s="21">
        <f t="shared" si="154"/>
        <v>0</v>
      </c>
      <c r="AP52" s="21">
        <f t="shared" si="154"/>
        <v>1</v>
      </c>
      <c r="AQ52" s="21">
        <f t="shared" si="154"/>
        <v>0</v>
      </c>
      <c r="AR52" s="21" t="str">
        <f t="shared" si="154"/>
        <v>.</v>
      </c>
      <c r="AS52" s="21">
        <f t="shared" si="154"/>
        <v>0</v>
      </c>
      <c r="AT52" s="21">
        <f t="shared" si="154"/>
        <v>1</v>
      </c>
      <c r="AU52" s="21">
        <f t="shared" si="154"/>
        <v>0</v>
      </c>
      <c r="AV52" s="21">
        <f t="shared" si="154"/>
        <v>0</v>
      </c>
      <c r="AW52" s="2"/>
      <c r="AX52" s="2"/>
      <c r="AY52" s="2"/>
      <c r="AZ52" s="2"/>
      <c r="BA52" s="21" t="s">
        <v>59</v>
      </c>
      <c r="BB52" s="21" t="s">
        <v>77</v>
      </c>
      <c r="BC52" s="3">
        <f>C6</f>
        <v>29092</v>
      </c>
      <c r="BD52" s="9"/>
      <c r="BE52" s="36" t="str">
        <f>IF(AX54=BC54,"Результат выполнения операции верный и корректный, совпадает с суммой десятичных эквивалентов.","Результат операции не совпадает с суммой десятичных эквивалентов, так как произошло переполнение.")</f>
        <v>Результат выполнения операции верный и корректный, совпадает с суммой десятичных эквивалентов.</v>
      </c>
    </row>
    <row r="53" spans="28:57" x14ac:dyDescent="0.25">
      <c r="AB53" s="8"/>
      <c r="AC53" s="2" t="s">
        <v>62</v>
      </c>
      <c r="AD53" s="2" t="s">
        <v>63</v>
      </c>
      <c r="AE53" s="2" t="s">
        <v>63</v>
      </c>
      <c r="AF53" s="2" t="s">
        <v>63</v>
      </c>
      <c r="AG53" s="2" t="s">
        <v>63</v>
      </c>
      <c r="AH53" s="2" t="s">
        <v>63</v>
      </c>
      <c r="AI53" s="2" t="s">
        <v>63</v>
      </c>
      <c r="AJ53" s="2" t="s">
        <v>63</v>
      </c>
      <c r="AK53" s="2" t="s">
        <v>63</v>
      </c>
      <c r="AL53" s="2" t="s">
        <v>63</v>
      </c>
      <c r="AM53" s="2" t="s">
        <v>63</v>
      </c>
      <c r="AN53" s="2" t="s">
        <v>63</v>
      </c>
      <c r="AO53" s="2" t="s">
        <v>63</v>
      </c>
      <c r="AP53" s="2" t="s">
        <v>63</v>
      </c>
      <c r="AQ53" s="2" t="s">
        <v>63</v>
      </c>
      <c r="AR53" s="2" t="s">
        <v>63</v>
      </c>
      <c r="AS53" s="2" t="s">
        <v>63</v>
      </c>
      <c r="AT53" s="2" t="s">
        <v>63</v>
      </c>
      <c r="AU53" s="2" t="s">
        <v>63</v>
      </c>
      <c r="AV53" s="2" t="s">
        <v>63</v>
      </c>
      <c r="AW53" s="2"/>
      <c r="AX53" s="21"/>
      <c r="AY53" s="2"/>
      <c r="AZ53" s="2"/>
      <c r="BA53" s="21" t="s">
        <v>63</v>
      </c>
      <c r="BB53" s="21" t="s">
        <v>64</v>
      </c>
      <c r="BC53" s="21" t="s">
        <v>65</v>
      </c>
      <c r="BD53" s="9"/>
      <c r="BE53" s="33"/>
    </row>
    <row r="54" spans="28:57" x14ac:dyDescent="0.25">
      <c r="AB54" s="8"/>
      <c r="AC54" s="2"/>
      <c r="AD54" s="2">
        <f t="shared" ref="AD54:AF54" si="155">MOD(AD50+AD51+AD52,2)</f>
        <v>0</v>
      </c>
      <c r="AE54" s="2">
        <f t="shared" si="155"/>
        <v>0</v>
      </c>
      <c r="AF54" s="2">
        <f t="shared" si="155"/>
        <v>0</v>
      </c>
      <c r="AG54" s="2">
        <f>MOD(AG50+AG51+AG52,2)</f>
        <v>0</v>
      </c>
      <c r="AH54" s="2"/>
      <c r="AI54" s="2">
        <f t="shared" ref="AI54:AK54" si="156">MOD(AI50+AI51+AI52,2)</f>
        <v>0</v>
      </c>
      <c r="AJ54" s="2">
        <f t="shared" si="156"/>
        <v>1</v>
      </c>
      <c r="AK54" s="2">
        <f t="shared" si="156"/>
        <v>0</v>
      </c>
      <c r="AL54" s="2">
        <f>MOD(AL50+AL51+AL52,2)</f>
        <v>1</v>
      </c>
      <c r="AM54" s="2"/>
      <c r="AN54" s="2">
        <f t="shared" ref="AN54:AP54" si="157">MOD(AN50+AN51+AN52,2)</f>
        <v>0</v>
      </c>
      <c r="AO54" s="2">
        <f t="shared" si="157"/>
        <v>0</v>
      </c>
      <c r="AP54" s="2">
        <f t="shared" si="157"/>
        <v>1</v>
      </c>
      <c r="AQ54" s="2">
        <f>MOD(AQ50+AQ51+AQ52,2)</f>
        <v>0</v>
      </c>
      <c r="AR54" s="2"/>
      <c r="AS54" s="2">
        <f>MOD(AS50+AS51+AS52,2)</f>
        <v>0</v>
      </c>
      <c r="AT54" s="2">
        <f t="shared" ref="AT54:AU54" si="158">MOD(AT50+AT51+AT52,2)</f>
        <v>1</v>
      </c>
      <c r="AU54" s="2">
        <f t="shared" si="158"/>
        <v>0</v>
      </c>
      <c r="AV54" s="2">
        <f>MOD(AV51+AV52,2)</f>
        <v>0</v>
      </c>
      <c r="AW54" s="24" t="s">
        <v>66</v>
      </c>
      <c r="AX54" s="21">
        <f>IF(AD54=1,-(32768-(AV54+2*AU54+4*AT54+8*AS54+16*AQ54+32*AP54+64*AO54+128*AN54+256*AL54+512*AK54+1024*AJ54+2048*AI54+4096*AG54+8192*AF54+16384*AE54)),AV54+2*AU54+4*AT54+8*AS54+16*AQ54+32*AP54+64*AO54+128*AN54+256*AL54+512*AK54+1024*AJ54+2048*AI54+4096*AG54+8192*AF54+16384*AE54)</f>
        <v>1316</v>
      </c>
      <c r="AY54" s="2" t="s">
        <v>67</v>
      </c>
      <c r="AZ54" s="2"/>
      <c r="BA54" s="21"/>
      <c r="BB54" s="21"/>
      <c r="BC54" s="3">
        <f>BC51+BC52</f>
        <v>1316</v>
      </c>
      <c r="BD54" s="9" t="s">
        <v>67</v>
      </c>
      <c r="BE54" s="33"/>
    </row>
    <row r="55" spans="28:57" x14ac:dyDescent="0.25">
      <c r="AB55" s="8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9"/>
      <c r="BE55" s="33"/>
    </row>
    <row r="56" spans="28:57" x14ac:dyDescent="0.25">
      <c r="AB56" s="10"/>
      <c r="AC56" s="11"/>
      <c r="AD56" s="31" t="s">
        <v>68</v>
      </c>
      <c r="AE56" s="31"/>
      <c r="AF56" s="11">
        <f>IF(AD50+AD51+AD52&gt;1,1,0)</f>
        <v>1</v>
      </c>
      <c r="AG56" s="11"/>
      <c r="AH56" s="31" t="s">
        <v>69</v>
      </c>
      <c r="AI56" s="31"/>
      <c r="AJ56" s="11">
        <f>IF(MOD(AN54+AO54+AP54+AQ54+AS54+AT54+AU54+AV54,2)=0,1,0)</f>
        <v>1</v>
      </c>
      <c r="AK56" s="11"/>
      <c r="AL56" s="31" t="s">
        <v>70</v>
      </c>
      <c r="AM56" s="31"/>
      <c r="AN56" s="11">
        <f>AQ50</f>
        <v>0</v>
      </c>
      <c r="AO56" s="11"/>
      <c r="AP56" s="31" t="s">
        <v>71</v>
      </c>
      <c r="AQ56" s="31"/>
      <c r="AR56" s="11">
        <f>IF(AX54=0,1,0)</f>
        <v>0</v>
      </c>
      <c r="AS56" s="11"/>
      <c r="AT56" s="11"/>
      <c r="AU56" s="31" t="s">
        <v>72</v>
      </c>
      <c r="AV56" s="31"/>
      <c r="AW56" s="25">
        <f>AD54</f>
        <v>0</v>
      </c>
      <c r="AX56" s="26" t="s">
        <v>73</v>
      </c>
      <c r="AY56" s="25">
        <f>IF(AND(AD51=AD52, AD52&lt;&gt;AD54),1,0)</f>
        <v>0</v>
      </c>
      <c r="AZ56" s="11"/>
      <c r="BA56" s="11"/>
      <c r="BB56" s="11"/>
      <c r="BC56" s="11"/>
      <c r="BD56" s="12"/>
      <c r="BE56" s="33"/>
    </row>
  </sheetData>
  <mergeCells count="42">
    <mergeCell ref="AD56:AE56"/>
    <mergeCell ref="AH56:AI56"/>
    <mergeCell ref="AL56:AM56"/>
    <mergeCell ref="AP56:AQ56"/>
    <mergeCell ref="AU56:AV56"/>
    <mergeCell ref="AD48:AE48"/>
    <mergeCell ref="AH48:AI48"/>
    <mergeCell ref="AL48:AM48"/>
    <mergeCell ref="AP48:AQ48"/>
    <mergeCell ref="AU48:AV48"/>
    <mergeCell ref="AD40:AE40"/>
    <mergeCell ref="AH40:AI40"/>
    <mergeCell ref="AL40:AM40"/>
    <mergeCell ref="AP40:AQ40"/>
    <mergeCell ref="AU40:AV40"/>
    <mergeCell ref="AD32:AE32"/>
    <mergeCell ref="AH32:AI32"/>
    <mergeCell ref="AL32:AM32"/>
    <mergeCell ref="AP32:AQ32"/>
    <mergeCell ref="AU32:AV32"/>
    <mergeCell ref="AD24:AE24"/>
    <mergeCell ref="AH24:AI24"/>
    <mergeCell ref="AL24:AM24"/>
    <mergeCell ref="AP24:AQ24"/>
    <mergeCell ref="AU24:AV24"/>
    <mergeCell ref="AD16:AE16"/>
    <mergeCell ref="AH16:AI16"/>
    <mergeCell ref="AL16:AM16"/>
    <mergeCell ref="AP16:AQ16"/>
    <mergeCell ref="AU16:AV16"/>
    <mergeCell ref="E38:E41"/>
    <mergeCell ref="E43:E46"/>
    <mergeCell ref="AD8:AE8"/>
    <mergeCell ref="AH8:AI8"/>
    <mergeCell ref="AL8:AM8"/>
    <mergeCell ref="AP8:AQ8"/>
    <mergeCell ref="AU8:AV8"/>
    <mergeCell ref="G2:Y2"/>
    <mergeCell ref="E18:E21"/>
    <mergeCell ref="E23:E26"/>
    <mergeCell ref="E28:E31"/>
    <mergeCell ref="E33:E36"/>
  </mergeCells>
  <pageMargins left="0.7" right="0.7" top="0.75" bottom="0.75" header="0.3" footer="0.3"/>
  <pageSetup paperSize="9" orientation="portrait" r:id="rId1"/>
  <headerFooter>
    <oddHeader>&amp;CТрикашный Максим 25 вариант lab5.xslx</oddHeader>
    <oddFooter>&amp;C27.11.2025 1:30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Трикашный Максим Дмитриевич</dc:creator>
  <cp:lastModifiedBy>Трикашный Максим Дмитриевич</cp:lastModifiedBy>
  <dcterms:created xsi:type="dcterms:W3CDTF">2025-11-26T21:07:23Z</dcterms:created>
  <dcterms:modified xsi:type="dcterms:W3CDTF">2025-11-26T22:32:13Z</dcterms:modified>
</cp:coreProperties>
</file>